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D107A044-2332-46EB-B637-18D9D1749D6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0. Executive Summary" sheetId="1" r:id="rId1"/>
    <sheet name="1. Engagement Overview" sheetId="2" r:id="rId2"/>
    <sheet name="2. EU AI Act Classification" sheetId="3" r:id="rId3"/>
    <sheet name="5. Remediation Roadmap" sheetId="6" r:id="rId4"/>
    <sheet name="6. Security Risk Register" sheetId="7" r:id="rId5"/>
    <sheet name="4. Gap Analysis &amp; Controls" sheetId="5" r:id="rId6"/>
    <sheet name="7. Governance Operating Model" sheetId="8" r:id="rId7"/>
    <sheet name="3. Bias &amp; Risk Findings" sheetId="4" r:id="rId8"/>
    <sheet name="8. AI Lifecycle Controls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7" l="1"/>
  <c r="D19" i="7"/>
  <c r="C19" i="7"/>
  <c r="B19" i="7"/>
  <c r="A19" i="7"/>
  <c r="G15" i="7"/>
  <c r="G14" i="7"/>
  <c r="G13" i="7"/>
  <c r="G12" i="7"/>
  <c r="G11" i="7"/>
  <c r="G10" i="7"/>
  <c r="G9" i="7"/>
  <c r="G8" i="7"/>
  <c r="G7" i="7"/>
  <c r="G6" i="7"/>
  <c r="E19" i="7" s="1"/>
  <c r="F22" i="6"/>
  <c r="E22" i="6"/>
  <c r="D22" i="6"/>
  <c r="C22" i="6"/>
  <c r="B22" i="6"/>
  <c r="A22" i="6"/>
  <c r="B22" i="5"/>
  <c r="B21" i="5"/>
  <c r="B20" i="5"/>
  <c r="B19" i="5"/>
  <c r="B18" i="5"/>
  <c r="F15" i="5"/>
  <c r="F14" i="5"/>
  <c r="F13" i="5"/>
  <c r="F12" i="5"/>
  <c r="F11" i="5"/>
  <c r="F10" i="5"/>
  <c r="F9" i="5"/>
  <c r="F8" i="5"/>
  <c r="F7" i="5"/>
  <c r="F6" i="5"/>
  <c r="B23" i="5" s="1"/>
</calcChain>
</file>

<file path=xl/sharedStrings.xml><?xml version="1.0" encoding="utf-8"?>
<sst xmlns="http://schemas.openxmlformats.org/spreadsheetml/2006/main" count="975" uniqueCount="730">
  <si>
    <t>EXECUTIVE SUMMARY — AI GOVERNANCE ASSESSMENT</t>
  </si>
  <si>
    <t>Prepared for: TechHire S.A. Board &amp; Executive Committee  |  MO CRCR  |  May 2026  |  CONFIDENTIAL</t>
  </si>
  <si>
    <t>MO was engaged to assess the compliance, governance, and security posture of HireScore AI v3.2 — TechHire's automated CV screening system — ahead of planned expansion into Germany and the Netherlands. This document summarises our findings for the Board and Executive Committee.</t>
  </si>
  <si>
    <t xml:space="preserve">  THE SITUATION</t>
  </si>
  <si>
    <t>HireScore AI automatically rejects 80% of all job applicants — around 3,360 people every month — with no human ever reviewing those decisions. The system was built on 6 years of historical hiring data that contains measurable bias against women, older workers, and non-EU nationals. Under a new EU law coming into force on 2 August 2026, this is no longer legal.</t>
  </si>
  <si>
    <t xml:space="preserve">  THREE THINGS THE BOARD NEEDS TO KNOW</t>
  </si>
  <si>
    <t>1</t>
  </si>
  <si>
    <t>You are already discriminating — and have evidence of it</t>
  </si>
  <si>
    <t>HireScore AI is 23% less likely to advance female candidates to interview, 30% less likely for candidates over 45, and 39% less likely for non-EU nationals. MO identified that the model uses a candidate's graduation year as a hidden proxy for age, and a feature called 'name_origin_score' as a proxy for nationality. Both are active in production today.</t>
  </si>
  <si>
    <t>2</t>
  </si>
  <si>
    <t>EU AI Act makes this illegal from 2 August 2026</t>
  </si>
  <si>
    <t>The EU AI Act classifies HireScore AI as 'High Risk' under Annex III — the same category as medical devices and critical infrastructure. From August 2026, fully automated hiring rejections without human review are a direct breach of Article 14. The maximum fine is €15 million. TechHire cannot legally operate this system in Germany or the Netherlands without compliance.</t>
  </si>
  <si>
    <t>3</t>
  </si>
  <si>
    <t>You have 68 days to fix the most critical issues</t>
  </si>
  <si>
    <t>Three actions must start immediately: (1) remove the two illegal proxy features from the model, (2) put a human review step before any rejection is issued, (3) commission a Data Protection Impact Assessment. None of these require months of work — they require decisions this week. The full remediation roadmap has 12 actions across 4 workstreams.</t>
  </si>
  <si>
    <t xml:space="preserve">  WHAT HAPPENS IF NOTHING CHANGES</t>
  </si>
  <si>
    <t>Financial</t>
  </si>
  <si>
    <t>Legal</t>
  </si>
  <si>
    <t>Regulatory</t>
  </si>
  <si>
    <t>Reputational</t>
  </si>
  <si>
    <t>Commercial</t>
  </si>
  <si>
    <t>€15,000,000</t>
  </si>
  <si>
    <t>Employment claims</t>
  </si>
  <si>
    <t>Market ban</t>
  </si>
  <si>
    <t>Press exposure</t>
  </si>
  <si>
    <t>Contract loss</t>
  </si>
  <si>
    <t>Maximum EU AI Act fine — or 3% of global turnover, whichever is higher</t>
  </si>
  <si>
    <t>Candidates with evidence of discrimination can file claims in DE and NL courts</t>
  </si>
  <si>
    <t>National AI supervisory authorities can prohibit TechHire from operating HireScore AI</t>
  </si>
  <si>
    <t>Bias findings of this type are routinely reported; damage to employer brand in key expansion markets</t>
  </si>
  <si>
    <t>Enterprise clients in DE/NL will require EU AI Act compliance evidence from 2026 — non-compliance loses deals</t>
  </si>
  <si>
    <t xml:space="preserve">  WHAT WE RECOMMEND YOU DO IN THE NEXT 30 DAYS</t>
  </si>
  <si>
    <t>This week</t>
  </si>
  <si>
    <t>Remove 'name_origin_score' and 'graduation_year' features from HireScore AI production model. Data science team: 2 days of work. Non-negotiable — these features are almost certainly unlawful under GDPR.</t>
  </si>
  <si>
    <t>Introduce a human review step: no candidate rejection to be issued without a recruiter reviewing the AI recommendation. Interim process can be manual while system is updated.</t>
  </si>
  <si>
    <t>Week 2</t>
  </si>
  <si>
    <t>Commission a Data Protection Impact Assessment (DPIA) — mandatory under GDPR Article 35 for automated high-risk processing. Engage your DPO immediately.</t>
  </si>
  <si>
    <t>Week 2–3</t>
  </si>
  <si>
    <t>Brief the Board: appoint an AI Risk Owner at executive level. EU AI Act requires identifiable accountability. The CTO or CPO is the appropriate owner.</t>
  </si>
  <si>
    <t>Week 3–4</t>
  </si>
  <si>
    <t>Engage MO to begin technical documentation (EU AI Act Article 11 technical file). This is the foundation for all remaining compliance work and cannot be started without it.</t>
  </si>
  <si>
    <t xml:space="preserve"> — AI GOVERNANCE ASSESSMENT</t>
  </si>
  <si>
    <t>Client: TechHire S.A.  |  Engagement ref: PL-CRCR-2026-044  |  Prepared by: AI Risk &amp; Governance Team</t>
  </si>
  <si>
    <t>CLIENT BACKGROUND</t>
  </si>
  <si>
    <t>Client name</t>
  </si>
  <si>
    <t>TechHire S.A.</t>
  </si>
  <si>
    <t>Industry</t>
  </si>
  <si>
    <t>Technology recruitment / HR-tech platform</t>
  </si>
  <si>
    <t>Headquarters</t>
  </si>
  <si>
    <t>Warsaw, Poland</t>
  </si>
  <si>
    <t>Employees</t>
  </si>
  <si>
    <t>~320 FTE across Poland, Germany, Netherlands</t>
  </si>
  <si>
    <t>Annual revenue</t>
  </si>
  <si>
    <t>PLN 48M (~€11M)</t>
  </si>
  <si>
    <t>Engagement trigger</t>
  </si>
  <si>
    <t>Planned expansion into DE and NL markets flagged EU AI Act compliance gap</t>
  </si>
  <si>
    <t>MO engagement scope</t>
  </si>
  <si>
    <t>AI risk assessment, EU AI Act classification, gap analysis, remediation roadmap</t>
  </si>
  <si>
    <t>Engagement period</t>
  </si>
  <si>
    <t>March – June 2026</t>
  </si>
  <si>
    <t>AI SYSTEM UNDER ASSESSMENT — HireScore AI v3.2</t>
  </si>
  <si>
    <t>System name</t>
  </si>
  <si>
    <t>HireScore AI v3.2</t>
  </si>
  <si>
    <t>System function</t>
  </si>
  <si>
    <t>Automated CV screening and candidate ranking for tech roles. Scores candidates 0–100 based on skills, experience, and historical hiring data. Top 20% forwarded to human recruiter.</t>
  </si>
  <si>
    <t>AI technique</t>
  </si>
  <si>
    <t>Gradient boosting classifier (XGBoost) trained on 6 years of historical hiring decisions</t>
  </si>
  <si>
    <t>Training data</t>
  </si>
  <si>
    <t>~85,000 historical CVs with hiring outcome labels (hired / rejected) from 2018–2024</t>
  </si>
  <si>
    <t>Deployment</t>
  </si>
  <si>
    <t>Fully automated — no human reviews candidates below score threshold of 62/100</t>
  </si>
  <si>
    <t>Volume</t>
  </si>
  <si>
    <t>Processes ~4,200 candidate applications per month</t>
  </si>
  <si>
    <t>Vendor / in-house</t>
  </si>
  <si>
    <t>In-house developed by TechHire data science team (3 engineers)</t>
  </si>
  <si>
    <t>Affected individuals</t>
  </si>
  <si>
    <t>All job applicants submitting CVs to TechHire client companies in PL, DE, NL</t>
  </si>
  <si>
    <t>Data processed</t>
  </si>
  <si>
    <t>Name, gender, age, nationality, education, employment history, salary expectations</t>
  </si>
  <si>
    <t>Current oversight</t>
  </si>
  <si>
    <t>None — no human-in-the-loop below score threshold</t>
  </si>
  <si>
    <t>KEY FINDINGS SUMMARY</t>
  </si>
  <si>
    <t>EU AI Act Classification</t>
  </si>
  <si>
    <t>HIGH RISK</t>
  </si>
  <si>
    <t>Annex III, Point 4(a) — AI used in employment and workers management decisions</t>
  </si>
  <si>
    <t>Most critical gap</t>
  </si>
  <si>
    <t>NO HUMAN OVERSIGHT</t>
  </si>
  <si>
    <t>Fully automated rejections with no human review — direct breach of Art. 14</t>
  </si>
  <si>
    <t>GDPR exposure</t>
  </si>
  <si>
    <t>AUTOMATED DECISION-MAKING</t>
  </si>
  <si>
    <t>Processing sensitive personal data with no Art. 22 safeguards in place</t>
  </si>
  <si>
    <t>Bias finding</t>
  </si>
  <si>
    <t>GENDER &amp; AGE BIAS DETECTED</t>
  </si>
  <si>
    <t>Model 23% less likely to advance female candidates for senior roles; age penalty &gt;45</t>
  </si>
  <si>
    <t>Timeline pressure</t>
  </si>
  <si>
    <t>442 DAYS TO DEADLINE</t>
  </si>
  <si>
    <t>EU AI Act high-risk obligations apply from 2 Aug 2026 — insufficient time without immediate action</t>
  </si>
  <si>
    <t>Overall maturity</t>
  </si>
  <si>
    <t>1.6 / 5.0</t>
  </si>
  <si>
    <t>ISO/IEC 42001 current average maturity — well below minimum acceptable level of 3.0</t>
  </si>
  <si>
    <t>EU AI ACT RISK CLASSIFICATION — HireScore AI v3.2</t>
  </si>
  <si>
    <t>Regulation (EU) 2024/1689 — Article 6 &amp; Annex III screening  |  Assessment date: 15 April 2026</t>
  </si>
  <si>
    <t xml:space="preserve">  ⚠   CLASSIFICATION RESULT:   HIGH RISK   —   Annex III, Point 4(a)</t>
  </si>
  <si>
    <t xml:space="preserve">  "AI systems intended to be used for recruitment or selection of natural persons, notably for advertising vacancies, screening or filtering applications, evaluating candidates in the course of interviews or tests" — Annex III Point 4(a), EU AI Act</t>
  </si>
  <si>
    <t>STEP 1 — ANNEX III SCREENING QUESTIONS</t>
  </si>
  <si>
    <t>Ref</t>
  </si>
  <si>
    <t>Screening Question</t>
  </si>
  <si>
    <t>Answer</t>
  </si>
  <si>
    <t>Rationale</t>
  </si>
  <si>
    <t>Conclusion</t>
  </si>
  <si>
    <t>Q1</t>
  </si>
  <si>
    <t>Is HireScore AI an AI system as defined in Art. 3(1)?</t>
  </si>
  <si>
    <t>Yes</t>
  </si>
  <si>
    <t>Automated machine-learning system making inferences from input data</t>
  </si>
  <si>
    <t>✓ PASS</t>
  </si>
  <si>
    <t>Q2</t>
  </si>
  <si>
    <t>Does it fall within a prohibited practice under Art. 5?</t>
  </si>
  <si>
    <t>No</t>
  </si>
  <si>
    <t>Does not use subliminal techniques or exploit vulnerabilities</t>
  </si>
  <si>
    <t>✓ CLEAR</t>
  </si>
  <si>
    <t>Q3</t>
  </si>
  <si>
    <t>Is it listed in Annex III (High-Risk categories)?</t>
  </si>
  <si>
    <t>YES</t>
  </si>
  <si>
    <t>Point 4(a) — employment, workers management, access to self-employment</t>
  </si>
  <si>
    <t>✓ HIGH RISK TRIGGERED</t>
  </si>
  <si>
    <t>Q4</t>
  </si>
  <si>
    <t>Does it materially influence decisions on employment access?</t>
  </si>
  <si>
    <t>Candidates below score 62 are automatically rejected — no human review</t>
  </si>
  <si>
    <t>✓ CONFIRMS HIGH RISK</t>
  </si>
  <si>
    <t>Q5</t>
  </si>
  <si>
    <t>Is it a safety component of a product under existing EU law?</t>
  </si>
  <si>
    <t>Not applicable to recruitment software</t>
  </si>
  <si>
    <t>✓ N/A</t>
  </si>
  <si>
    <t>Q6</t>
  </si>
  <si>
    <t>Does Art. 6(3) exception apply? (Narrow use, no significant risk)</t>
  </si>
  <si>
    <t>Affects fundamental right to work; significant individual impact confirmed</t>
  </si>
  <si>
    <t>✗ EXCEPTION NOT MET</t>
  </si>
  <si>
    <t>STEP 2 — MANDATORY OBLIGATIONS TRIGGERED (Art. 8–17)</t>
  </si>
  <si>
    <t>Article</t>
  </si>
  <si>
    <t>Obligation</t>
  </si>
  <si>
    <t>Description</t>
  </si>
  <si>
    <t>Current Status</t>
  </si>
  <si>
    <t>Priority Deadline</t>
  </si>
  <si>
    <t>Art. 9</t>
  </si>
  <si>
    <t>Risk Management System</t>
  </si>
  <si>
    <t>Establish and maintain a documented AI risk management system throughout the lifecycle</t>
  </si>
  <si>
    <t>Missing</t>
  </si>
  <si>
    <t>Q2 2026</t>
  </si>
  <si>
    <t>Art. 10</t>
  </si>
  <si>
    <t>Data &amp; Training Governance</t>
  </si>
  <si>
    <t>Training data must be relevant, representative, free of errors and complete. Bias examined.</t>
  </si>
  <si>
    <t>Gap — bias not tested</t>
  </si>
  <si>
    <t>Art. 11</t>
  </si>
  <si>
    <t>Technical Documentation</t>
  </si>
  <si>
    <t>Full technical documentation must be drawn up before market placement</t>
  </si>
  <si>
    <t>Partial — no bias docs</t>
  </si>
  <si>
    <t>Q1 2026</t>
  </si>
  <si>
    <t>Art. 12</t>
  </si>
  <si>
    <t>Record-keeping &amp; Logging</t>
  </si>
  <si>
    <t>Automatic logging of events for lifetime of system; audit trail of all decisions</t>
  </si>
  <si>
    <t>Art. 13</t>
  </si>
  <si>
    <t>Transparency &amp; Information</t>
  </si>
  <si>
    <t>Users (recruiters) must receive clear info on system capabilities and limitations</t>
  </si>
  <si>
    <t>Art. 14</t>
  </si>
  <si>
    <t>Human Oversight</t>
  </si>
  <si>
    <t>Effective human oversight must be possible; automatic rejection without review is non-compliant</t>
  </si>
  <si>
    <t>Critical gap</t>
  </si>
  <si>
    <t>Immediate</t>
  </si>
  <si>
    <t>Art. 15</t>
  </si>
  <si>
    <t>Accuracy, Robustness &amp; Cybersecurity</t>
  </si>
  <si>
    <t>System must achieve appropriate levels of accuracy; adversarial robustness tested</t>
  </si>
  <si>
    <t>Partial</t>
  </si>
  <si>
    <t>Q3 2026</t>
  </si>
  <si>
    <t>Art. 16–17</t>
  </si>
  <si>
    <t>Provider Obligations &amp; QMS</t>
  </si>
  <si>
    <t>Quality management system; EU declaration of conformity; register in EU database</t>
  </si>
  <si>
    <t>Not started</t>
  </si>
  <si>
    <t xml:space="preserve">  PENALTY EXPOSURE:   Up to €15,000,000 or 3% of total worldwide annual turnover (whichever is higher) — Art. 99(3), EU AI Act   |   Estimated exposure for TechHire: €15M (exceeds 3% of GTO)</t>
  </si>
  <si>
    <t>REMEDIATION ROADMAP — HireScore AI v3.2</t>
  </si>
  <si>
    <t>EU AI Act compliance deadline: 2 August 2026  |  Engagement period: April–June 2026  |  Status as at: May 2026</t>
  </si>
  <si>
    <t xml:space="preserve">  ⏱   DAYS TO EU AI ACT HIGH-RISK DEADLINE (2 AUG 2026):   =DAYS(DATE(2026,8,2),TODAY())&amp;" days remaining"   —   Immediate action required on Critical items</t>
  </si>
  <si>
    <t>REMEDIATION PLAN — BY WORKSTREAM</t>
  </si>
  <si>
    <t>Workstream</t>
  </si>
  <si>
    <t>Action</t>
  </si>
  <si>
    <t>Owner</t>
  </si>
  <si>
    <t>Start</t>
  </si>
  <si>
    <t>End</t>
  </si>
  <si>
    <t>Status</t>
  </si>
  <si>
    <t>Effort
(days)</t>
  </si>
  <si>
    <t>Dependency</t>
  </si>
  <si>
    <t>RAG</t>
  </si>
  <si>
    <t>R-01</t>
  </si>
  <si>
    <t>Design and implement HITL review workflow; update recruiter SOP; train 12 recruiters</t>
  </si>
  <si>
    <t>Head of Product + CISO</t>
  </si>
  <si>
    <t>May-26</t>
  </si>
  <si>
    <t>Jun-26</t>
  </si>
  <si>
    <t>In Progress</t>
  </si>
  <si>
    <t>None</t>
  </si>
  <si>
    <t>AMBER</t>
  </si>
  <si>
    <t>R-02</t>
  </si>
  <si>
    <t>Deploy decision logging infrastructure (immutable audit log with candidate ID, score, timestamp)</t>
  </si>
  <si>
    <t>Engineering Lead</t>
  </si>
  <si>
    <t>Not Started</t>
  </si>
  <si>
    <t>RED</t>
  </si>
  <si>
    <t>R-03</t>
  </si>
  <si>
    <t>Bias Remediation</t>
  </si>
  <si>
    <t>Remove name_origin_score and graduation_year features from production model immediately</t>
  </si>
  <si>
    <t>Data Science Lead</t>
  </si>
  <si>
    <t>Apr-26</t>
  </si>
  <si>
    <t>Complete</t>
  </si>
  <si>
    <t>GREEN</t>
  </si>
  <si>
    <t>R-04</t>
  </si>
  <si>
    <t>Conduct full bias audit (demographic parity, equalised odds) across all protected characteristics</t>
  </si>
  <si>
    <t>Data Science + MO</t>
  </si>
  <si>
    <t>R-05</t>
  </si>
  <si>
    <t>Retrain HireScore AI model on bias-corrected dataset; validate performance vs fairness tradeoff</t>
  </si>
  <si>
    <t>Jul-26</t>
  </si>
  <si>
    <t>R-06</t>
  </si>
  <si>
    <t>Transparency</t>
  </si>
  <si>
    <t>Build candidate explanation portal: plain-language score rationale, right to human review request</t>
  </si>
  <si>
    <t>Product + Legal</t>
  </si>
  <si>
    <t>R-07</t>
  </si>
  <si>
    <t>Update privacy notice and candidate consent flow to reflect automated decision-making (GDPR Art.13)</t>
  </si>
  <si>
    <t>DPO / Legal</t>
  </si>
  <si>
    <t>R-08</t>
  </si>
  <si>
    <t>Documentation</t>
  </si>
  <si>
    <t>Draft EU AI Act technical file (Art. 11): architecture, training data, testing, bias report, limits</t>
  </si>
  <si>
    <t>MO + Data Science</t>
  </si>
  <si>
    <t>R-09</t>
  </si>
  <si>
    <t>Commission DPIA for HireScore AI automated processing; submit to DPA if high-risk confirmed</t>
  </si>
  <si>
    <t>DPO</t>
  </si>
  <si>
    <t>R-10</t>
  </si>
  <si>
    <t>Governance</t>
  </si>
  <si>
    <t>Establish AI Risk Management System: quarterly reviews, KRIs, escalation matrix</t>
  </si>
  <si>
    <t>CTO + MO</t>
  </si>
  <si>
    <t>R-11</t>
  </si>
  <si>
    <t>Register HireScore AI in EU AI database (Art. 71); appoint EU representative for DE/NL markets</t>
  </si>
  <si>
    <t>Legal + Compliance</t>
  </si>
  <si>
    <t>Aug-26</t>
  </si>
  <si>
    <t>R-08,R-09,R-10</t>
  </si>
  <si>
    <t>R-12</t>
  </si>
  <si>
    <t>Conformity</t>
  </si>
  <si>
    <t>Conduct internal conformity assessment; issue EU Declaration of Conformity; affix CE marking</t>
  </si>
  <si>
    <t>MO + Legal</t>
  </si>
  <si>
    <t>ROADMAP SUMMARY</t>
  </si>
  <si>
    <t>Total Actions</t>
  </si>
  <si>
    <t>Critical RED items</t>
  </si>
  <si>
    <t>Est. total effort (days)</t>
  </si>
  <si>
    <t>SECURITY RISK REGISTER — HireScore AI v3.2</t>
  </si>
  <si>
    <t>Threat-based security risk assessment  |  Client: TechHire S.A.  |  Scope: HireScore AI v3.2 production system  |  MO — Cybersecurity AI Risk</t>
  </si>
  <si>
    <t>Likelihood: 1=Rare  2=Unlikely  3=Possible  4=Likely  5=Almost Certain</t>
  </si>
  <si>
    <t>Impact: 1=Negligible  2=Minor  3=Moderate  4=Major  5=Catastrophic</t>
  </si>
  <si>
    <t>Inherent = L×I  |  Residual = after controls  |  1–5 Low · 6–12 Medium · 13–19 High · 20–25 Critical</t>
  </si>
  <si>
    <t>Risk
ID</t>
  </si>
  <si>
    <t>Risk Statement
(Threat → Asset → Consequence)</t>
  </si>
  <si>
    <t>Threat
Actor</t>
  </si>
  <si>
    <t>Attack
Vector</t>
  </si>
  <si>
    <t>Likelihood
(1–5)</t>
  </si>
  <si>
    <t>Impact
(1–5)</t>
  </si>
  <si>
    <t>Inherent
Risk Score</t>
  </si>
  <si>
    <t>Inherent
Rating</t>
  </si>
  <si>
    <t>Current Controls
(TechHire Today)</t>
  </si>
  <si>
    <t>Control
Gaps</t>
  </si>
  <si>
    <t>Residual
Risk Score</t>
  </si>
  <si>
    <t>Residual
Rating</t>
  </si>
  <si>
    <t>Treatment</t>
  </si>
  <si>
    <t>SR-01</t>
  </si>
  <si>
    <t>Adversarial manipulation of CV input fields causes HireScore AI to assign inflated scores to unqualified candidates, undermining hiring integrity</t>
  </si>
  <si>
    <t>External attacker / Competitor</t>
  </si>
  <si>
    <t>API input manipulation</t>
  </si>
  <si>
    <t>Medium</t>
  </si>
  <si>
    <t>None — no input validation or adversarial testing in place</t>
  </si>
  <si>
    <t>No rate limiting on CV submission API; no anomaly detection on input feature distributions; no adversarial robustness testing ever performed</t>
  </si>
  <si>
    <t>Mitigate</t>
  </si>
  <si>
    <t>SR-02</t>
  </si>
  <si>
    <t>Poisoning of historical training data (2018–2024) causes the retrained model to embed backdoor behaviour, systematically favouring or rejecting specific candidate profiles</t>
  </si>
  <si>
    <t>Insider threat / Disgruntled employee</t>
  </si>
  <si>
    <t>Unauthorised access to training data pipeline</t>
  </si>
  <si>
    <t>Role-based access control (RBAC) on data warehouse; basic audit logging</t>
  </si>
  <si>
    <t>No integrity checksums on training datasets; no monitoring for unusual data modifications; single data scientist has write access to full training set without peer review</t>
  </si>
  <si>
    <t>SR-03</t>
  </si>
  <si>
    <t>Unauthorised extraction of 85,000+ candidate CV records (PII, salary, nationality) via insecure model API leads to large-scale GDPR data breach</t>
  </si>
  <si>
    <t>External attacker / Nation-state</t>
  </si>
  <si>
    <t>API exploitation / model inversion attack</t>
  </si>
  <si>
    <t>High</t>
  </si>
  <si>
    <t>HTTPS in transit; basic API authentication token</t>
  </si>
  <si>
    <t>No rate limiting; no model output monitoring for extraction patterns; no data masking on API responses; no model inversion attack protection; no DLP controls</t>
  </si>
  <si>
    <t>SR-04</t>
  </si>
  <si>
    <t>Membership inference attack reveals whether specific individuals' data was used in model training, exposing sensitive candidate information and breaching GDPR Art. 9</t>
  </si>
  <si>
    <t>Researcher / Activist / Regulator</t>
  </si>
  <si>
    <t>Black-box membership inference</t>
  </si>
  <si>
    <t>None — no differential privacy or output perturbation applied</t>
  </si>
  <si>
    <t>Model trained without differential privacy guarantees; no output perturbation; full training dataset PII not anonymised before use</t>
  </si>
  <si>
    <t>SR-05</t>
  </si>
  <si>
    <t>Prompt injection via CV free-text fields manipulates downstream LLM-based summarisation component, causing incorrect candidate assessment outputs</t>
  </si>
  <si>
    <t>External candidate / Attacker</t>
  </si>
  <si>
    <t>Free-text field injection</t>
  </si>
  <si>
    <t>Basic HTML sanitisation on web form inputs</t>
  </si>
  <si>
    <t>No prompt injection testing; free-text parsed by LLM without sanitisation; no output validation layer; AI pipeline inputs not treated as untrusted</t>
  </si>
  <si>
    <t>SR-06</t>
  </si>
  <si>
    <t>Insider abuse of HireScore AI decision logs allows preferential treatment of specific candidates, bypassing the scoring system for personal or financial gain</t>
  </si>
  <si>
    <t>Malicious insider (recruiter / admin)</t>
  </si>
  <si>
    <t>Privileged access abuse</t>
  </si>
  <si>
    <t>RBAC on admin portal; decision outputs visible to recruiters</t>
  </si>
  <si>
    <t>No immutable audit trail of who accessed which candidate scores; no alerting on anomalous access patterns; no segregation of duties between scoring and decision finalisation</t>
  </si>
  <si>
    <t>SR-07</t>
  </si>
  <si>
    <t>Third-party ML library or open-source dependency in HireScore AI codebase contains a known vulnerability, enabling remote code execution on the model server</t>
  </si>
  <si>
    <t>External attacker</t>
  </si>
  <si>
    <t>Supply chain / dependency exploit</t>
  </si>
  <si>
    <t>Ad hoc dependency updates; no formal patching schedule</t>
  </si>
  <si>
    <t>No software composition analysis (SCA) tooling; 14 Python dependencies not updated in 18+ months; no SBOM maintained; no vulnerability scanning in CI/CD pipeline</t>
  </si>
  <si>
    <t>SR-08</t>
  </si>
  <si>
    <t>Model performance degrades silently due to data drift (candidate pool changes post-COVID, new job market patterns), causing systematically incorrect scoring without detection</t>
  </si>
  <si>
    <t>Operational / Environmental</t>
  </si>
  <si>
    <t>Data/concept drift</t>
  </si>
  <si>
    <t>No monitoring in place — manual review only when recruiter complaints raised</t>
  </si>
  <si>
    <t>No automated model performance monitoring; no data drift detection; no KPI dashboards; last model validation was 18 months ago; no defined retraining trigger criteria</t>
  </si>
  <si>
    <t>SR-09</t>
  </si>
  <si>
    <t>HireScore AI model file is exfiltrated by a departing employee and used by a competitor or sold, exposing TechHire's proprietary scoring IP and candidate data</t>
  </si>
  <si>
    <t>Insider threat / Departing employee</t>
  </si>
  <si>
    <t>Intellectual property theft</t>
  </si>
  <si>
    <t>Standard employment contract IP clauses; basic endpoint controls</t>
  </si>
  <si>
    <t>Model artefacts stored on shared network drive without encryption; no DLP monitoring on large file transfers; no model watermarking or fingerprinting</t>
  </si>
  <si>
    <t>Transfer / Mitigate</t>
  </si>
  <si>
    <t>SR-10</t>
  </si>
  <si>
    <t>Ransomware attack encrypts HireScore AI model artefacts and training data, halting all recruitment operations for TechHire clients and triggering DORA-equivalent incident reporting obligations</t>
  </si>
  <si>
    <t>Cybercriminal group</t>
  </si>
  <si>
    <t>Ransomware / Malware</t>
  </si>
  <si>
    <t>Corporate antivirus; daily backups (untested); incident response plan (generic IT)</t>
  </si>
  <si>
    <t>AI-specific assets not included in BCP/DR plan; model artefact backups not tested; no immutable backup for training data; IR plan does not cover AI system recovery; DORA notification thresholds not defined for AI incidents</t>
  </si>
  <si>
    <t>RISK SUMMARY</t>
  </si>
  <si>
    <t>Total risks identified</t>
  </si>
  <si>
    <t>Critical (score 20–25)</t>
  </si>
  <si>
    <t>High (score 13–19)</t>
  </si>
  <si>
    <t>Medium (score 6–12)</t>
  </si>
  <si>
    <t>Avg inherent risk score</t>
  </si>
  <si>
    <t>Avg residual risk score</t>
  </si>
  <si>
    <t>GAP ANALYSIS &amp; CONTROL RECOMMENDATIONS — HireScore AI v3.2</t>
  </si>
  <si>
    <t>Mapped to: EU AI Act Art. 8–17  |  ISO/IEC 42001:2023  |  GDPR  |  NIST AI RMF 1.0</t>
  </si>
  <si>
    <t>CONTROL GAP ANALYSIS</t>
  </si>
  <si>
    <t>Gap
Ref</t>
  </si>
  <si>
    <t>Gap Description</t>
  </si>
  <si>
    <t>Regulation /
Standard</t>
  </si>
  <si>
    <t>Current
State
(1–5)</t>
  </si>
  <si>
    <t>Target
State
(1–5)</t>
  </si>
  <si>
    <t>Gap
Score</t>
  </si>
  <si>
    <t>Risk if
Unremediated</t>
  </si>
  <si>
    <t>Recommended Control</t>
  </si>
  <si>
    <t>Effort</t>
  </si>
  <si>
    <t>Priority</t>
  </si>
  <si>
    <t>G-01</t>
  </si>
  <si>
    <t>No human oversight — automated rejections with zero human review</t>
  </si>
  <si>
    <t>EU AI Act Art. 14 / ISO 42001 §8.5</t>
  </si>
  <si>
    <t>Direct regulatory breach; candidate legal challenge exposure</t>
  </si>
  <si>
    <t>Implement Human-in-the-Loop (HITL): all rejections reviewed by recruiter before issue; define override SOP</t>
  </si>
  <si>
    <t>Critical</t>
  </si>
  <si>
    <t>G-02</t>
  </si>
  <si>
    <t>No bias or fairness testing ever conducted on HireScore AI</t>
  </si>
  <si>
    <t>EU AI Act Art. 10 / GDPR Art. 22</t>
  </si>
  <si>
    <t>Ongoing discriminatory outcomes; Art. 22 GDPR breach; employment law exposure in DE/NL</t>
  </si>
  <si>
    <t>Implement quarterly bias audit using demographic parity and equalised odds metrics; engage independent auditor</t>
  </si>
  <si>
    <t>G-03</t>
  </si>
  <si>
    <t>5 high-risk proxy features active in production model (graduation_year, name_origin_score etc.)</t>
  </si>
  <si>
    <t>EU AI Act Art. 10 / GDPR Art. 5(1)(a)</t>
  </si>
  <si>
    <t>Indirect discrimination; GDPR lawfulness principle breach; national DPA enforcement risk</t>
  </si>
  <si>
    <t>Remove name_origin_score and graduation_year immediately; retrain model without identified proxy features</t>
  </si>
  <si>
    <t>G-04</t>
  </si>
  <si>
    <t>No candidate transparency or right to explanation provided</t>
  </si>
  <si>
    <t>GDPR Art. 22(3) / EU AI Act Art. 13</t>
  </si>
  <si>
    <t>Candidates cannot exercise data rights; DPA complaint and fine risk</t>
  </si>
  <si>
    <t>Build candidate-facing explanation portal: score rationale in plain language within 72h of decision</t>
  </si>
  <si>
    <t>G-05</t>
  </si>
  <si>
    <t>No technical documentation for EU AI Act conformity</t>
  </si>
  <si>
    <t>EU AI Act Art. 11</t>
  </si>
  <si>
    <t>Cannot demonstrate compliance to regulator; CE marking impossible without it</t>
  </si>
  <si>
    <t>Draft technical file: model architecture, training data description, test results, known limitations, bias report</t>
  </si>
  <si>
    <t>G-06</t>
  </si>
  <si>
    <t>No AI-specific logging or audit trail of decisions</t>
  </si>
  <si>
    <t>EU AI Act Art. 12</t>
  </si>
  <si>
    <t>Cannot reconstruct past decisions; legal challenge cannot be defended</t>
  </si>
  <si>
    <t>Implement immutable decision log: candidate ID, score, feature values, timestamp, recruiter action</t>
  </si>
  <si>
    <t>G-07</t>
  </si>
  <si>
    <t>Training data from 2018–2024 contains historical hiring bias</t>
  </si>
  <si>
    <t>EU AI Act Art. 10(3)</t>
  </si>
  <si>
    <t>Perpetuating past discriminatory patterns; model learns 'reject women for senior roles'</t>
  </si>
  <si>
    <t>Re-label training data with bias-corrected outcomes; apply reweighting; consider fairness constraints in retraining</t>
  </si>
  <si>
    <t>Very High</t>
  </si>
  <si>
    <t>G-08</t>
  </si>
  <si>
    <t>No risk management system for AI lifecycle</t>
  </si>
  <si>
    <t>EU AI Act Art. 9 / ISO 42001 §6.1</t>
  </si>
  <si>
    <t>No systematic identification or treatment of emerging AI risks</t>
  </si>
  <si>
    <t>Establish AI RMS: quarterly risk reviews, model performance monitoring, drift detection, escalation process</t>
  </si>
  <si>
    <t>Low</t>
  </si>
  <si>
    <t>G-09</t>
  </si>
  <si>
    <t>No data protection impact assessment (DPIA) conducted</t>
  </si>
  <si>
    <t>GDPR Art. 35</t>
  </si>
  <si>
    <t>Mandatory for high-risk automated processing; non-compliance with GDPR Art. 35</t>
  </si>
  <si>
    <t>Commission DPIA covering HireScore AI data flows, retention, transfers, lawful basis for automated decisions</t>
  </si>
  <si>
    <t>G-10</t>
  </si>
  <si>
    <t>No quality management system (QMS) for AI</t>
  </si>
  <si>
    <t>EU AI Act Art. 17</t>
  </si>
  <si>
    <t>Cannot register system in EU AI database; CE marking blocked</t>
  </si>
  <si>
    <t>Adopt ISO 42001 AIMS as QMS; assign AI system owner; define change management process</t>
  </si>
  <si>
    <t>GAP SUMMARY METRICS</t>
  </si>
  <si>
    <t>Total gaps identified</t>
  </si>
  <si>
    <t>Critical priority gaps</t>
  </si>
  <si>
    <t>High priority gaps</t>
  </si>
  <si>
    <t>Average current maturity</t>
  </si>
  <si>
    <t>Average target maturity</t>
  </si>
  <si>
    <t>Average gap score</t>
  </si>
  <si>
    <t>AI GOVERNANCE OPERATING MODEL — TechHire S.A.</t>
  </si>
  <si>
    <t>Current state vs recommended target operating model  |  Three Lines of Defence  |  Roles, responsibilities &amp; oversight forums</t>
  </si>
  <si>
    <t xml:space="preserve">  CURRENT STATE — GOVERNANCE GAPS</t>
  </si>
  <si>
    <t>Governance Area</t>
  </si>
  <si>
    <t>Current Weakness</t>
  </si>
  <si>
    <t>Risk / Consequence</t>
  </si>
  <si>
    <t>AI Ownership</t>
  </si>
  <si>
    <t>No named AI Risk Owner at executive level</t>
  </si>
  <si>
    <t>No accountability when AI system causes harm or regulatory breach</t>
  </si>
  <si>
    <t>Board Oversight</t>
  </si>
  <si>
    <t>Board receives no AI risk reporting; AI not on risk committee agenda</t>
  </si>
  <si>
    <t>Regulatory exposure not visible at governance level — EU AI Act requires board-level accountability</t>
  </si>
  <si>
    <t>Policy Framework</t>
  </si>
  <si>
    <t>No AI-specific policy, standard, or acceptable use guidelines</t>
  </si>
  <si>
    <t>Engineers making ad hoc decisions on data, features, and model design without governance guardrails</t>
  </si>
  <si>
    <t>Risk Reviews</t>
  </si>
  <si>
    <t>No periodic AI risk review process; issues raised reactively</t>
  </si>
  <si>
    <t>HireScore AI bias went undetected for 6+ years because no systematic review existed</t>
  </si>
  <si>
    <t>3 Lines of Defence</t>
  </si>
  <si>
    <t>AI risk not allocated across 1LoD / 2LoD / 3LoD</t>
  </si>
  <si>
    <t>No clear ownership: same team builds, tests, and approves AI systems</t>
  </si>
  <si>
    <t>Incident Response</t>
  </si>
  <si>
    <t>No AI-specific incident response or escalation process</t>
  </si>
  <si>
    <t>A bias complaint or data breach involving AI would have no defined response path</t>
  </si>
  <si>
    <t>Change Control</t>
  </si>
  <si>
    <t>No change management process for model retraining or feature changes</t>
  </si>
  <si>
    <t>name_origin_score was added to the model with no documented review or approval</t>
  </si>
  <si>
    <t xml:space="preserve">  TARGET OPERATING MODEL — THREE LINES OF DEFENCE FOR AI</t>
  </si>
  <si>
    <t xml:space="preserve">  FIRST LINE OF DEFENCE</t>
  </si>
  <si>
    <t>Role</t>
  </si>
  <si>
    <t>Holder</t>
  </si>
  <si>
    <t>Responsibility</t>
  </si>
  <si>
    <t>AI System Owner</t>
  </si>
  <si>
    <t>CTO</t>
  </si>
  <si>
    <t>Accountable for HireScore AI compliance, performance, and risk</t>
  </si>
  <si>
    <t>Data Science Team</t>
  </si>
  <si>
    <t>3 ML Engineers</t>
  </si>
  <si>
    <t>Responsible for model development, bias testing, technical documentation</t>
  </si>
  <si>
    <t>Product Manager</t>
  </si>
  <si>
    <t>Head of Product</t>
  </si>
  <si>
    <t>Owns system requirements, change control, user acceptance</t>
  </si>
  <si>
    <t>Business Users</t>
  </si>
  <si>
    <t>Recruitment Team</t>
  </si>
  <si>
    <t>Operate HITL review process; flag anomalous AI outputs; maintain override log</t>
  </si>
  <si>
    <t xml:space="preserve">  SECOND LINE OF DEFENCE</t>
  </si>
  <si>
    <t>AI Risk Function</t>
  </si>
  <si>
    <t>CISO / Risk Director</t>
  </si>
  <si>
    <t>Independent AI risk policy, standards, periodic risk assessment</t>
  </si>
  <si>
    <t>Data Protection Officer</t>
  </si>
  <si>
    <t>GDPR compliance, DPIA, candidate rights, supervisory authority liaison</t>
  </si>
  <si>
    <t>Legal &amp; Compliance</t>
  </si>
  <si>
    <t>General Counsel</t>
  </si>
  <si>
    <t>EU AI Act obligations, employment law, DE/NL regulatory requirements</t>
  </si>
  <si>
    <t>AI Ethics Committee</t>
  </si>
  <si>
    <t>Cross-functional</t>
  </si>
  <si>
    <t>Quarterly review of bias metrics, model decisions, escalated cases — NEW</t>
  </si>
  <si>
    <t xml:space="preserve">  THIRD LINE OF DEFENCE</t>
  </si>
  <si>
    <t>Internal Audit</t>
  </si>
  <si>
    <t>Head of Internal Audit</t>
  </si>
  <si>
    <t>Annual AI controls audit; ISO 42001 conformity review</t>
  </si>
  <si>
    <t>External Auditor / MO</t>
  </si>
  <si>
    <t>MO CRCR</t>
  </si>
  <si>
    <t>Independent AI risk assessment, EU AI Act conformity assessment</t>
  </si>
  <si>
    <t>Supervisory Authority</t>
  </si>
  <si>
    <t>Polish / DE / NL DPA</t>
  </si>
  <si>
    <t>Regulatory oversight; DPIA review; AI Act enforcement from Aug 2026</t>
  </si>
  <si>
    <t>Notified Body</t>
  </si>
  <si>
    <t>TBC</t>
  </si>
  <si>
    <t>Conformity assessment body for EU AI Act CE marking process</t>
  </si>
  <si>
    <t xml:space="preserve">  AI OVERSIGHT FORUMS — RECOMMENDED CADENCE</t>
  </si>
  <si>
    <t>Forum</t>
  </si>
  <si>
    <t>Cadence</t>
  </si>
  <si>
    <t>Attendees</t>
  </si>
  <si>
    <t>Scope &amp; Purpose</t>
  </si>
  <si>
    <t>AI Ethics &amp; Risk Committee</t>
  </si>
  <si>
    <t>Quarterly</t>
  </si>
  <si>
    <t>Board / EXCO level</t>
  </si>
  <si>
    <t>Review bias metrics, material AI risk changes, regulatory updates, model retraining approvals. Chaired by CTO.</t>
  </si>
  <si>
    <t>AI Operational Review</t>
  </si>
  <si>
    <t>Monthly</t>
  </si>
  <si>
    <t>CTO + Risk + DPO</t>
  </si>
  <si>
    <t>Model performance KPIs, HITL override rates, incident log review, change control approvals, DPA correspondence.</t>
  </si>
  <si>
    <t>AI Security Review</t>
  </si>
  <si>
    <t>CISO + Engineering</t>
  </si>
  <si>
    <t>Vulnerability scan results, dependency patching status, adversarial testing, access control review.</t>
  </si>
  <si>
    <t>Model Retraining Sign-off</t>
  </si>
  <si>
    <t>Per event</t>
  </si>
  <si>
    <t>CTO + DPO + Risk</t>
  </si>
  <si>
    <t>Mandatory approval gate before any retrained model goes to production. Requires bias test results and DPO sign-off.</t>
  </si>
  <si>
    <t>Board AI Risk Reporting</t>
  </si>
  <si>
    <t>Board of Directors</t>
  </si>
  <si>
    <t>One-page AI risk dashboard: regulatory status, top 3 risks, remediation RAG, incident summary. NEW — does not currently exist.</t>
  </si>
  <si>
    <t>BIAS ANALYSIS &amp; RISK FINDINGS — HireScore AI v3.2</t>
  </si>
  <si>
    <t>Based on MO analysis of 6,840 decisions (Jan–Dec 2025)  |  Analysis method: Demographic parity &amp; equalised odds  |  Tool: Python / SHAP</t>
  </si>
  <si>
    <t>BIAS ANALYSIS RESULTS — DEMOGRAPHIC PARITY TESTING</t>
  </si>
  <si>
    <t>Protected
Characteristic</t>
  </si>
  <si>
    <t>Group</t>
  </si>
  <si>
    <t>Advancement
Rate</t>
  </si>
  <si>
    <t>Baseline
Rate</t>
  </si>
  <si>
    <t>Disparity
Ratio</t>
  </si>
  <si>
    <t>Threshold
(≥0.80)</t>
  </si>
  <si>
    <t>Bias
Detected?</t>
  </si>
  <si>
    <t>Sample
Size</t>
  </si>
  <si>
    <t>Severity</t>
  </si>
  <si>
    <t>Recommended Action</t>
  </si>
  <si>
    <t>Gender</t>
  </si>
  <si>
    <t>Female candidates</t>
  </si>
  <si>
    <t>31.2%</t>
  </si>
  <si>
    <t>40.5%</t>
  </si>
  <si>
    <t>0.77</t>
  </si>
  <si>
    <t>0.80</t>
  </si>
  <si>
    <t>3,241</t>
  </si>
  <si>
    <t>HIGH</t>
  </si>
  <si>
    <t>Immediate re-training; remove gender-correlated features</t>
  </si>
  <si>
    <t>Male candidates</t>
  </si>
  <si>
    <t>1.00</t>
  </si>
  <si>
    <t>3,599</t>
  </si>
  <si>
    <t>—</t>
  </si>
  <si>
    <t>Baseline group</t>
  </si>
  <si>
    <t>Age</t>
  </si>
  <si>
    <t>Candidates aged 18–35</t>
  </si>
  <si>
    <t>44.1%</t>
  </si>
  <si>
    <t>1.09</t>
  </si>
  <si>
    <t>2,876</t>
  </si>
  <si>
    <t>Candidates aged 36–45</t>
  </si>
  <si>
    <t>39.8%</t>
  </si>
  <si>
    <t>0.98</t>
  </si>
  <si>
    <t>2,104</t>
  </si>
  <si>
    <t>Within threshold</t>
  </si>
  <si>
    <t>Candidates aged 45+</t>
  </si>
  <si>
    <t>28.3%</t>
  </si>
  <si>
    <t>0.70</t>
  </si>
  <si>
    <t>1,422</t>
  </si>
  <si>
    <t>Age penalty detected — likely proxy via graduation year feature</t>
  </si>
  <si>
    <t>Nationality</t>
  </si>
  <si>
    <t>Polish nationals</t>
  </si>
  <si>
    <t>41.2%</t>
  </si>
  <si>
    <t>1.02</t>
  </si>
  <si>
    <t>4,890</t>
  </si>
  <si>
    <t>Non-Polish EU nationals</t>
  </si>
  <si>
    <t>36.8%</t>
  </si>
  <si>
    <t>0.91</t>
  </si>
  <si>
    <t>1,102</t>
  </si>
  <si>
    <t>LOW</t>
  </si>
  <si>
    <t>Monitor; borderline — retest after retraining</t>
  </si>
  <si>
    <t>Non-EU nationals</t>
  </si>
  <si>
    <t>24.6%</t>
  </si>
  <si>
    <t>0.61</t>
  </si>
  <si>
    <t>848</t>
  </si>
  <si>
    <t>CRITICAL</t>
  </si>
  <si>
    <t>Likely proxy via address/institution name — immediate investigation</t>
  </si>
  <si>
    <t>TOP 10 MODEL FEATURES — SHAP IMPORTANCE ANALYSIS</t>
  </si>
  <si>
    <t>Rank</t>
  </si>
  <si>
    <t>Feature Name</t>
  </si>
  <si>
    <t xml:space="preserve">SHAP Importance
</t>
  </si>
  <si>
    <t>Proxy Risk?</t>
  </si>
  <si>
    <t>Proxy For</t>
  </si>
  <si>
    <t>MO Assessment</t>
  </si>
  <si>
    <t>Action Required</t>
  </si>
  <si>
    <t>years_experience_total</t>
  </si>
  <si>
    <t>Legitimate — core job requirement</t>
  </si>
  <si>
    <t>Retain</t>
  </si>
  <si>
    <t>skills_match_score</t>
  </si>
  <si>
    <t>Legitimate — direct relevance metric</t>
  </si>
  <si>
    <t>graduation_year</t>
  </si>
  <si>
    <t>Age (r=0.89 with age)</t>
  </si>
  <si>
    <t>HIGH RISK — strong age proxy; correlated 89% with applicant age</t>
  </si>
  <si>
    <t>Remove immediately</t>
  </si>
  <si>
    <t>university_prestige_score</t>
  </si>
  <si>
    <t>Socioeconomic status / nationality</t>
  </si>
  <si>
    <t>MEDIUM RISK — prestige ranking biased toward Western EU institutions</t>
  </si>
  <si>
    <t>Review &amp; reweight</t>
  </si>
  <si>
    <t>employment_gap_months</t>
  </si>
  <si>
    <t>Gender (maternity leave)</t>
  </si>
  <si>
    <t>HIGH RISK — penalises career breaks; disproportionate impact on women</t>
  </si>
  <si>
    <t>Remove or cap</t>
  </si>
  <si>
    <t>previous_salary</t>
  </si>
  <si>
    <t>Gender pay gap perpetuation</t>
  </si>
  <si>
    <t>MEDIUM RISK — embeds historical pay discrimination into future decisions</t>
  </si>
  <si>
    <t>Remove</t>
  </si>
  <si>
    <t>technical_certifications_count</t>
  </si>
  <si>
    <t>Legitimate — verify recency weighting</t>
  </si>
  <si>
    <t>Retain with review</t>
  </si>
  <si>
    <t>linkedin_connections_count</t>
  </si>
  <si>
    <t>Socioeconomic status</t>
  </si>
  <si>
    <t>LOW RISK — weak proxy; remove for fairness</t>
  </si>
  <si>
    <t>job_title_seniority_encoded</t>
  </si>
  <si>
    <t>Legitimate</t>
  </si>
  <si>
    <t>name_origin_score</t>
  </si>
  <si>
    <t>Nationality / ethnicity</t>
  </si>
  <si>
    <t>CRITICAL — direct nationality/ethnicity proxy; likely illegal under GDPR</t>
  </si>
  <si>
    <t>AI SYSTEM LIFECYCLE CONTROLS — HireScore AI v3.2</t>
  </si>
  <si>
    <t>Control requirements at each lifecycle stage  |  ISO/IEC 42001 §8  |  EU AI Act Art. 9–17  |  NIST AI RMF: Govern, Map, Measure, Manage</t>
  </si>
  <si>
    <t xml:space="preserve">  HOW TO READ THIS TAB:  For each stage of HireScore AI's lifecycle, MO has assessed which controls are required, whether TechHire currently has them, and what needs to be built.</t>
  </si>
  <si>
    <t xml:space="preserve">  STAGE 1: DESIGN &amp; REQUIREMENTS</t>
  </si>
  <si>
    <t>Control Requirement</t>
  </si>
  <si>
    <t>Regulation / Standard</t>
  </si>
  <si>
    <t>Define AI use case and intended purpose in writing</t>
  </si>
  <si>
    <t>EU AI Act Art. 9</t>
  </si>
  <si>
    <t>Draft intended purpose statement; define scope, users, affected persons</t>
  </si>
  <si>
    <t>Conduct AI-specific risk assessment before build begins</t>
  </si>
  <si>
    <t>ISO 42001 §6.1</t>
  </si>
  <si>
    <t>Risk assessment template to be completed before any new model development</t>
  </si>
  <si>
    <t>Define fairness criteria and protected characteristics upfront</t>
  </si>
  <si>
    <t>EU AI Act Art. 10 / GDPR</t>
  </si>
  <si>
    <t>Establish demographic parity thresholds; identify protected groups for DE/NL markets</t>
  </si>
  <si>
    <t>Obtain DPO sign-off on data usage and lawful basis</t>
  </si>
  <si>
    <t>GDPR Art. 6 / Art. 9</t>
  </si>
  <si>
    <t>DPO approval gate added to design phase checklist</t>
  </si>
  <si>
    <t>Appoint AI System Owner with named accountability</t>
  </si>
  <si>
    <t>EU AI Act Art. 16</t>
  </si>
  <si>
    <t>CTO designated as AI System Owner for HireScore AI</t>
  </si>
  <si>
    <t xml:space="preserve">  STAGE 2: DATA COLLECTION &amp; PREPARATION</t>
  </si>
  <si>
    <t>Document training data sources, volume, and collection method</t>
  </si>
  <si>
    <t>EU AI Act Art. 10 / Art.11</t>
  </si>
  <si>
    <t>Data lineage document to be completed; current documentation informal</t>
  </si>
  <si>
    <t>Conduct data quality assessment: completeness, accuracy, representativeness</t>
  </si>
  <si>
    <t>Implement automated data quality checks in training pipeline</t>
  </si>
  <si>
    <t>Perform bias audit on training data before model training</t>
  </si>
  <si>
    <t>EU AI Act Art. 10(2)</t>
  </si>
  <si>
    <t>Quarterly bias audit process; independent review for retraining events</t>
  </si>
  <si>
    <t>Remove or justify use of sensitive / proxy features</t>
  </si>
  <si>
    <t>GDPR Art. 5 / EU AI Act</t>
  </si>
  <si>
    <t>FAILED — Remediated</t>
  </si>
  <si>
    <t>name_origin_score and graduation_year removed (R-03 complete); 3 further features under review</t>
  </si>
  <si>
    <t>Obtain consent or establish lawful basis for candidate data use in training</t>
  </si>
  <si>
    <t>GDPR Art. 6</t>
  </si>
  <si>
    <t>Gap</t>
  </si>
  <si>
    <t>Privacy notice update required; training data consent review by DPO</t>
  </si>
  <si>
    <t>Apply data minimisation — only collect what is necessary</t>
  </si>
  <si>
    <t>GDPR Art. 5(1)(c)</t>
  </si>
  <si>
    <t>Feature reduction exercise as part of model retraining workstream</t>
  </si>
  <si>
    <t xml:space="preserve">  STAGE 3: MODEL DEVELOPMENT &amp; TRAINING</t>
  </si>
  <si>
    <t>Version control all model artefacts (code, weights, training data snapshot)</t>
  </si>
  <si>
    <t>ISO 42001 §8.1</t>
  </si>
  <si>
    <t>Git used for code; model weights and data snapshots not versioned</t>
  </si>
  <si>
    <t>Implement reproducible training pipeline with documented parameters</t>
  </si>
  <si>
    <t>MLflow or equivalent experiment tracking to be implemented</t>
  </si>
  <si>
    <t>Test for accuracy, robustness, and adversarial inputs during development</t>
  </si>
  <si>
    <t>EU AI Act Art. 15</t>
  </si>
  <si>
    <t>Adversarial testing framework to be built into CI/CD pipeline</t>
  </si>
  <si>
    <t>Measure fairness metrics across all protected groups before promotion</t>
  </si>
  <si>
    <t>EU AI Act Art. 10</t>
  </si>
  <si>
    <t>Automated fairness report generated at end of every training run</t>
  </si>
  <si>
    <t>Peer review of model design and feature selection by second data scientist</t>
  </si>
  <si>
    <t>ISO 42001 §8.3</t>
  </si>
  <si>
    <t>4-eyes principle: no single engineer can approve own model changes</t>
  </si>
  <si>
    <t>Document model limitations, known failure modes, and edge cases</t>
  </si>
  <si>
    <t>EU AI Act Art. 11 / Art.13</t>
  </si>
  <si>
    <t>Model card to be produced for HireScore AI; updated at each retraining</t>
  </si>
  <si>
    <t xml:space="preserve">  STAGE 4: TESTING &amp; VALIDATION</t>
  </si>
  <si>
    <t>Independent validation of model performance on holdout test set</t>
  </si>
  <si>
    <t>Basic accuracy testing exists; no fairness or adversarial testing</t>
  </si>
  <si>
    <t>Conduct bias and fairness testing across all demographic groups</t>
  </si>
  <si>
    <t>MO to conduct initial independent bias audit (R-04); quarterly thereafter</t>
  </si>
  <si>
    <t>Test human oversight mechanism — verify HITL workflow before go-live</t>
  </si>
  <si>
    <t>EU AI Act Art. 14</t>
  </si>
  <si>
    <t>HITL UAT to be completed and signed off before production deployment</t>
  </si>
  <si>
    <t>Security testing: adversarial inputs, data poisoning, API penetration test</t>
  </si>
  <si>
    <t>EU AI Act Art. 15 / SR-01</t>
  </si>
  <si>
    <t>Penetration test and adversarial robustness assessment to be scoped</t>
  </si>
  <si>
    <t>Obtain DPO and Legal sign-off before production deployment</t>
  </si>
  <si>
    <t>GDPR / EU AI Act</t>
  </si>
  <si>
    <t>Deployment approval gate: checklist requiring DPO, Legal, CTO signatures</t>
  </si>
  <si>
    <t>Log baseline performance metrics for drift detection reference</t>
  </si>
  <si>
    <t>ISO 42001 §9.1</t>
  </si>
  <si>
    <t>Define KPIs at validation stage; record as baseline for production monitoring</t>
  </si>
  <si>
    <t xml:space="preserve">  STAGE 5: DEPLOYMENT &amp; OPERATION</t>
  </si>
  <si>
    <t>Maintain immutable audit log of all AI decisions (candidate ID, score, timestamp, features, outcome)</t>
  </si>
  <si>
    <t>Implement tamper-evident decision log — R-02 in progress</t>
  </si>
  <si>
    <t>Operate Human-in-the-Loop review for all rejection decisions</t>
  </si>
  <si>
    <t>HITL workflow deployment — R-01 in progress</t>
  </si>
  <si>
    <t>Provide candidate-facing explanation of score and right to human review</t>
  </si>
  <si>
    <t>GDPR Art. 22 / Art. 13</t>
  </si>
  <si>
    <t>Candidate explanation portal — R-06 planned Q3 2026</t>
  </si>
  <si>
    <t>Monitor model performance KPIs weekly; flag drift above defined threshold</t>
  </si>
  <si>
    <t>Automated monitoring dashboard; alert if demographic parity ratio drops below 0.80</t>
  </si>
  <si>
    <t>Incident response: AI-specific escalation path for bias complaints or breaches</t>
  </si>
  <si>
    <t>ISO 42001 §10.1</t>
  </si>
  <si>
    <t>AI incident response runbook to be drafted; DPO to lead on candidate complaints</t>
  </si>
  <si>
    <t>Quarterly operational review by AI Ethics &amp; Risk Committee</t>
  </si>
  <si>
    <t>ISO 42001 §9.3</t>
  </si>
  <si>
    <t>New governance forum to be established — see Tab 7</t>
  </si>
  <si>
    <t xml:space="preserve">  STAGE 6: MONITORING &amp; CONTINUOUS IMPROVEMENT</t>
  </si>
  <si>
    <t>Monthly automated bias metrics report across all protected characteristics</t>
  </si>
  <si>
    <t>Bias monitoring pipeline with automated alerting — monthly report to AI Risk Committee</t>
  </si>
  <si>
    <t>Annual independent AI risk assessment and ISO 42001 maturity review</t>
  </si>
  <si>
    <t>ISO 42001 §9.2</t>
  </si>
  <si>
    <t>MO or accredited third party; first review to be scheduled for Q1 2027</t>
  </si>
  <si>
    <t>Model retraining trigger criteria defined and monitored</t>
  </si>
  <si>
    <t>ISO 42001 §10.2</t>
  </si>
  <si>
    <t>Define: accuracy drop &gt;5%, disparity ratio &lt;0.80, &gt;12 months since last training</t>
  </si>
  <si>
    <t>Post-incident review and lessons learned process for AI-related issues</t>
  </si>
  <si>
    <t>AI incident review template; findings fed back to design stage</t>
  </si>
  <si>
    <t>Annual regulatory horizon scanning — new AI obligations tracked</t>
  </si>
  <si>
    <t>EU AI Act / NIS2 / DORA</t>
  </si>
  <si>
    <t>Legal &amp; Compliance quarterly regulatory update to AI Ethics Committee</t>
  </si>
  <si>
    <t xml:space="preserve">  STAGE 7: DECOMMISSION &amp; RETIRE</t>
  </si>
  <si>
    <t>Documented decommission plan: data deletion, model artefact disposal</t>
  </si>
  <si>
    <t>GDPR Art. 17 / ISO 42001</t>
  </si>
  <si>
    <t>Retention schedule for candidate data; secure deletion procedure for model files</t>
  </si>
  <si>
    <t>Retain technical documentation for 10 years post-deployment</t>
  </si>
  <si>
    <t>EU AI Act Art. 11(3)</t>
  </si>
  <si>
    <t>Document archive policy for AI technical files; stored in compliance repository</t>
  </si>
  <si>
    <t>Notify EU AI database of system retirement</t>
  </si>
  <si>
    <t>EU AI Act Art. 71</t>
  </si>
  <si>
    <t>Once registered in EU AI database (R-11), deregistration process required on retirement</t>
  </si>
  <si>
    <t>Candidate data deletion upon request or retention period expiry</t>
  </si>
  <si>
    <t>GDPR Art. 17</t>
  </si>
  <si>
    <t>Automated data retention enforcement; right to erasure workflow</t>
  </si>
  <si>
    <t xml:space="preserve">  LIFECYCLE CONTROL SUMMARY</t>
  </si>
  <si>
    <t>Total lifecycle controls assessed</t>
  </si>
  <si>
    <t>Controls missing / not in place</t>
  </si>
  <si>
    <t>Controls partially in place</t>
  </si>
  <si>
    <t>Controls in place</t>
  </si>
  <si>
    <t>Control coverage %</t>
  </si>
  <si>
    <t>38</t>
  </si>
  <si>
    <t>35</t>
  </si>
  <si>
    <t>0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</si>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</sst>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6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CCCCCC"/>
      <name val="Arial"/>
      <charset val="1"/>
    </font>
    <font>
      <sz val="10"/>
      <color rgb="FF303030"/>
      <name val="Arial"/>
      <charset val="1"/>
    </font>
    <font>
      <b/>
      <sz val="9"/>
      <color rgb="FFFFFFFF"/>
      <name val="Arial"/>
      <charset val="1"/>
    </font>
    <font>
      <b/>
      <sz val="22"/>
      <color rgb="FFC00000"/>
      <name val="Arial"/>
      <charset val="1"/>
    </font>
    <font>
      <b/>
      <sz val="11"/>
      <color rgb="FFC00000"/>
      <name val="Arial"/>
      <charset val="1"/>
    </font>
    <font>
      <b/>
      <sz val="22"/>
      <color rgb="FFED7D31"/>
      <name val="Arial"/>
      <charset val="1"/>
    </font>
    <font>
      <b/>
      <sz val="11"/>
      <color rgb="FFED7D31"/>
      <name val="Arial"/>
      <charset val="1"/>
    </font>
    <font>
      <b/>
      <sz val="8"/>
      <color rgb="FFFFFFFF"/>
      <name val="Arial"/>
      <charset val="1"/>
    </font>
    <font>
      <b/>
      <sz val="12"/>
      <color rgb="FFC00000"/>
      <name val="Arial"/>
      <charset val="1"/>
    </font>
    <font>
      <sz val="8"/>
      <color rgb="FF303030"/>
      <name val="Arial"/>
      <charset val="1"/>
    </font>
    <font>
      <b/>
      <sz val="9"/>
      <color rgb="FF375623"/>
      <name val="Arial"/>
      <charset val="1"/>
    </font>
    <font>
      <sz val="8"/>
      <color rgb="FF646569"/>
      <name val="Arial"/>
      <charset val="1"/>
    </font>
    <font>
      <b/>
      <sz val="15"/>
      <color rgb="FFFFFFFF"/>
      <name val="Arial"/>
      <charset val="1"/>
    </font>
    <font>
      <b/>
      <sz val="9"/>
      <color rgb="FF2E2D2E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2F5496"/>
      <name val="Arial"/>
      <charset val="1"/>
    </font>
    <font>
      <b/>
      <sz val="9"/>
      <color rgb="FF000000"/>
      <name val="Arial"/>
      <charset val="1"/>
    </font>
    <font>
      <b/>
      <sz val="8"/>
      <color rgb="FF2E2D2E"/>
      <name val="Arial"/>
      <charset val="1"/>
    </font>
    <font>
      <b/>
      <sz val="9"/>
      <color rgb="FFC00000"/>
      <name val="Arial"/>
      <charset val="1"/>
    </font>
    <font>
      <b/>
      <sz val="9"/>
      <color rgb="FF888888"/>
      <name val="Arial"/>
      <charset val="1"/>
    </font>
    <font>
      <b/>
      <sz val="10"/>
      <color rgb="FF1F3864"/>
      <name val="Arial"/>
      <charset val="1"/>
    </font>
    <font>
      <b/>
      <sz val="9"/>
      <color rgb="FFED7D31"/>
      <name val="Arial"/>
      <charset val="1"/>
    </font>
    <font>
      <b/>
      <sz val="11"/>
      <color rgb="FF1F3864"/>
      <name val="Arial"/>
      <charset val="1"/>
    </font>
    <font>
      <b/>
      <sz val="8"/>
      <color rgb="FF1F3864"/>
      <name val="Arial"/>
      <charset val="1"/>
    </font>
    <font>
      <b/>
      <sz val="8"/>
      <color rgb="FFED7D31"/>
      <name val="Arial"/>
      <charset val="1"/>
    </font>
    <font>
      <b/>
      <sz val="8"/>
      <color rgb="FFC00000"/>
      <name val="Arial"/>
      <charset val="1"/>
    </font>
    <font>
      <b/>
      <sz val="12"/>
      <color rgb="FF2F5496"/>
      <name val="Arial"/>
      <charset val="1"/>
    </font>
    <font>
      <sz val="9"/>
      <color rgb="FFC00000"/>
      <name val="Arial"/>
      <charset val="1"/>
    </font>
    <font>
      <sz val="9"/>
      <color rgb="FF2F5496"/>
      <name val="Arial"/>
      <charset val="1"/>
    </font>
    <font>
      <sz val="8"/>
      <color rgb="FF2F5496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03030"/>
      </patternFill>
    </fill>
    <fill>
      <patternFill patternType="solid">
        <fgColor rgb="FFFFE600"/>
        <bgColor rgb="FFFFFF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2E2D2E"/>
        <bgColor rgb="FF303030"/>
      </patternFill>
    </fill>
    <fill>
      <patternFill patternType="solid">
        <fgColor rgb="FF375623"/>
        <bgColor rgb="FF303030"/>
      </patternFill>
    </fill>
    <fill>
      <patternFill patternType="solid">
        <fgColor rgb="FFE2EFDA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AAAAAA"/>
        <bgColor rgb="FFBFBFBF"/>
      </patternFill>
    </fill>
    <fill>
      <patternFill patternType="solid">
        <fgColor rgb="FFFFD966"/>
        <bgColor rgb="FFFFE600"/>
      </patternFill>
    </fill>
    <fill>
      <patternFill patternType="solid">
        <fgColor rgb="FFD9E1F2"/>
        <bgColor rgb="FFE2EFDA"/>
      </patternFill>
    </fill>
    <fill>
      <patternFill patternType="solid">
        <fgColor rgb="FF2F5496"/>
        <bgColor rgb="FF1F3864"/>
      </patternFill>
    </fill>
    <fill>
      <patternFill patternType="solid">
        <fgColor rgb="FFC55A11"/>
        <bgColor rgb="FFED7D31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/>
    <xf numFmtId="0" fontId="15" fillId="4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164" fontId="16" fillId="4" borderId="4" xfId="0" applyNumberFormat="1" applyFont="1" applyFill="1" applyBorder="1" applyAlignment="1">
      <alignment horizontal="center" vertical="center"/>
    </xf>
    <xf numFmtId="164" fontId="16" fillId="5" borderId="4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 wrapText="1"/>
    </xf>
    <xf numFmtId="165" fontId="32" fillId="4" borderId="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left" vertical="center"/>
    </xf>
    <xf numFmtId="0" fontId="22" fillId="5" borderId="4" xfId="0" applyFont="1" applyFill="1" applyBorder="1" applyAlignment="1">
      <alignment horizontal="left" vertical="center"/>
    </xf>
    <xf numFmtId="0" fontId="24" fillId="7" borderId="4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3" fillId="4" borderId="1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23" fillId="13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0" fontId="30" fillId="8" borderId="1" xfId="0" applyFont="1" applyFill="1" applyBorder="1" applyAlignment="1">
      <alignment horizontal="left" vertical="center"/>
    </xf>
    <xf numFmtId="0" fontId="31" fillId="7" borderId="1" xfId="0" applyFont="1" applyFill="1" applyBorder="1" applyAlignment="1">
      <alignment horizontal="left" vertical="center"/>
    </xf>
    <xf numFmtId="165" fontId="26" fillId="5" borderId="4" xfId="0" applyNumberFormat="1" applyFont="1" applyFill="1" applyBorder="1" applyAlignment="1">
      <alignment horizontal="center" vertical="center"/>
    </xf>
    <xf numFmtId="165" fontId="26" fillId="4" borderId="4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left" vertical="center"/>
    </xf>
    <xf numFmtId="0" fontId="33" fillId="7" borderId="4" xfId="0" applyFont="1" applyFill="1" applyBorder="1" applyAlignment="1">
      <alignment horizontal="left" vertical="center" wrapText="1"/>
    </xf>
    <xf numFmtId="0" fontId="21" fillId="5" borderId="4" xfId="0" applyFont="1" applyFill="1" applyBorder="1" applyAlignment="1">
      <alignment horizontal="left" vertical="center"/>
    </xf>
    <xf numFmtId="0" fontId="17" fillId="16" borderId="0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left" vertical="center"/>
    </xf>
    <xf numFmtId="0" fontId="34" fillId="5" borderId="4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34" fillId="4" borderId="4" xfId="0" applyFont="1" applyFill="1" applyBorder="1" applyAlignment="1">
      <alignment horizontal="left" vertical="center"/>
    </xf>
    <xf numFmtId="0" fontId="17" fillId="10" borderId="0" xfId="0" applyFont="1" applyFill="1" applyBorder="1" applyAlignment="1">
      <alignment horizontal="left" vertical="center"/>
    </xf>
    <xf numFmtId="0" fontId="17" fillId="9" borderId="0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/>
    </xf>
    <xf numFmtId="0" fontId="35" fillId="5" borderId="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 vertical="center"/>
    </xf>
    <xf numFmtId="0" fontId="27" fillId="8" borderId="4" xfId="0" applyFont="1" applyFill="1" applyBorder="1" applyAlignment="1">
      <alignment horizontal="center" vertical="center"/>
    </xf>
    <xf numFmtId="0" fontId="17" fillId="12" borderId="0" xfId="0" applyFont="1" applyFill="1" applyBorder="1" applyAlignment="1">
      <alignment horizontal="left" vertical="center"/>
    </xf>
    <xf numFmtId="0" fontId="17" fillId="17" borderId="0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F5F5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646569"/>
      <rgbColor rgb="FFAAAAAA"/>
      <rgbColor rgb="FF1F3864"/>
      <rgbColor rgb="FF339966"/>
      <rgbColor rgb="FF375623"/>
      <rgbColor rgb="FF2E2D2E"/>
      <rgbColor rgb="FFC55A11"/>
      <rgbColor rgb="FF993366"/>
      <rgbColor rgb="FF2F5496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showGridLines="0" tabSelected="1" zoomScaleNormal="100" workbookViewId="0">
      <selection activeCell="G27" sqref="G27:H27"/>
    </sheetView>
  </sheetViews>
  <sheetFormatPr defaultColWidth="8.7109375" defaultRowHeight="15"/>
  <cols>
    <col min="1" max="1" width="6" customWidth="1"/>
    <col min="2" max="2" width="10" customWidth="1"/>
    <col min="3" max="3" width="12" customWidth="1"/>
    <col min="4" max="8" width="8" customWidth="1"/>
    <col min="9" max="9" width="10" customWidth="1"/>
    <col min="10" max="11" width="8" customWidth="1"/>
    <col min="12" max="12" width="12" customWidth="1"/>
  </cols>
  <sheetData>
    <row r="1" spans="1:12" ht="36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8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6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ht="9.75" customHeight="1"/>
    <row r="5" spans="1:12" ht="43.5" customHeight="1">
      <c r="A5" s="39" t="s">
        <v>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ht="9.75" customHeight="1"/>
    <row r="7" spans="1:12" ht="19.5" customHeight="1">
      <c r="A7" s="40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 ht="51.75" customHeight="1">
      <c r="A8" s="41" t="s">
        <v>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2" ht="9.75" customHeight="1"/>
    <row r="10" spans="1:12" ht="19.5" customHeight="1">
      <c r="A10" s="42" t="s">
        <v>5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</row>
    <row r="11" spans="1:12" ht="21.75" customHeight="1">
      <c r="A11" s="43" t="s">
        <v>6</v>
      </c>
      <c r="B11" s="44" t="s">
        <v>7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ht="19.5" customHeight="1">
      <c r="A12" s="43"/>
      <c r="B12" s="45" t="s">
        <v>8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2" ht="27.75" customHeight="1">
      <c r="A13" s="43"/>
      <c r="B13" s="43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ht="6" customHeight="1"/>
    <row r="15" spans="1:12" ht="21.75" customHeight="1">
      <c r="A15" s="43" t="s">
        <v>9</v>
      </c>
      <c r="B15" s="44" t="s">
        <v>10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</row>
    <row r="16" spans="1:12" ht="19.5" customHeight="1">
      <c r="A16" s="43"/>
      <c r="B16" s="45" t="s">
        <v>11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spans="1:12" ht="27.75" customHeight="1">
      <c r="A17" s="43"/>
      <c r="B17" s="43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spans="1:12" ht="6" customHeight="1"/>
    <row r="19" spans="1:12" ht="21.75" customHeight="1">
      <c r="A19" s="46" t="s">
        <v>12</v>
      </c>
      <c r="B19" s="47" t="s">
        <v>13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9.5" customHeight="1">
      <c r="A20" s="46"/>
      <c r="B20" s="45" t="s">
        <v>14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1:12" ht="27.75" customHeight="1">
      <c r="A21" s="46"/>
      <c r="B21" s="46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ht="6" customHeight="1"/>
    <row r="24" spans="1:12" ht="19.5" customHeight="1">
      <c r="A24" s="48" t="s">
        <v>15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9.5" customHeight="1">
      <c r="A25" s="49" t="s">
        <v>16</v>
      </c>
      <c r="B25" s="49"/>
      <c r="C25" s="49" t="s">
        <v>17</v>
      </c>
      <c r="D25" s="49"/>
      <c r="E25" s="49" t="s">
        <v>18</v>
      </c>
      <c r="F25" s="49"/>
      <c r="G25" s="49" t="s">
        <v>19</v>
      </c>
      <c r="H25" s="49"/>
      <c r="I25" s="49" t="s">
        <v>20</v>
      </c>
      <c r="J25" s="49"/>
    </row>
    <row r="26" spans="1:12" ht="27.75" customHeight="1">
      <c r="A26" s="50" t="s">
        <v>21</v>
      </c>
      <c r="B26" s="50"/>
      <c r="C26" s="50" t="s">
        <v>22</v>
      </c>
      <c r="D26" s="50"/>
      <c r="E26" s="50" t="s">
        <v>23</v>
      </c>
      <c r="F26" s="50"/>
      <c r="G26" s="50" t="s">
        <v>24</v>
      </c>
      <c r="H26" s="50"/>
      <c r="I26" s="50" t="s">
        <v>25</v>
      </c>
      <c r="J26" s="50"/>
    </row>
    <row r="27" spans="1:12" ht="36" customHeight="1">
      <c r="A27" s="51" t="s">
        <v>26</v>
      </c>
      <c r="B27" s="51"/>
      <c r="C27" s="51" t="s">
        <v>27</v>
      </c>
      <c r="D27" s="51"/>
      <c r="E27" s="51" t="s">
        <v>28</v>
      </c>
      <c r="F27" s="51"/>
      <c r="G27" s="51" t="s">
        <v>29</v>
      </c>
      <c r="H27" s="51"/>
      <c r="I27" s="51" t="s">
        <v>30</v>
      </c>
      <c r="J27" s="51"/>
    </row>
    <row r="29" spans="1:12" ht="7.5" customHeight="1"/>
    <row r="30" spans="1:12" ht="19.5" customHeight="1">
      <c r="A30" s="52" t="s">
        <v>31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spans="1:12" ht="31.5" customHeight="1">
      <c r="A31" s="53" t="s">
        <v>32</v>
      </c>
      <c r="B31" s="53"/>
      <c r="C31" s="54" t="s">
        <v>33</v>
      </c>
      <c r="D31" s="54"/>
      <c r="E31" s="54"/>
      <c r="F31" s="54"/>
      <c r="G31" s="54"/>
      <c r="H31" s="54"/>
      <c r="I31" s="54"/>
      <c r="J31" s="54"/>
      <c r="K31" s="54"/>
      <c r="L31" s="54"/>
    </row>
    <row r="32" spans="1:12" ht="31.5" customHeight="1">
      <c r="A32" s="53" t="s">
        <v>32</v>
      </c>
      <c r="B32" s="53"/>
      <c r="C32" s="41" t="s">
        <v>34</v>
      </c>
      <c r="D32" s="41"/>
      <c r="E32" s="41"/>
      <c r="F32" s="41"/>
      <c r="G32" s="41"/>
      <c r="H32" s="41"/>
      <c r="I32" s="41"/>
      <c r="J32" s="41"/>
      <c r="K32" s="41"/>
      <c r="L32" s="41"/>
    </row>
    <row r="33" spans="1:12" ht="31.5" customHeight="1">
      <c r="A33" s="53" t="s">
        <v>35</v>
      </c>
      <c r="B33" s="53"/>
      <c r="C33" s="54" t="s">
        <v>36</v>
      </c>
      <c r="D33" s="54"/>
      <c r="E33" s="54"/>
      <c r="F33" s="54"/>
      <c r="G33" s="54"/>
      <c r="H33" s="54"/>
      <c r="I33" s="54"/>
      <c r="J33" s="54"/>
      <c r="K33" s="54"/>
      <c r="L33" s="54"/>
    </row>
    <row r="34" spans="1:12" ht="31.5" customHeight="1">
      <c r="A34" s="53" t="s">
        <v>37</v>
      </c>
      <c r="B34" s="53"/>
      <c r="C34" s="41" t="s">
        <v>38</v>
      </c>
      <c r="D34" s="41"/>
      <c r="E34" s="41"/>
      <c r="F34" s="41"/>
      <c r="G34" s="41"/>
      <c r="H34" s="41"/>
      <c r="I34" s="41"/>
      <c r="J34" s="41"/>
      <c r="K34" s="41"/>
      <c r="L34" s="41"/>
    </row>
    <row r="35" spans="1:12" ht="31.5" customHeight="1">
      <c r="A35" s="53" t="s">
        <v>39</v>
      </c>
      <c r="B35" s="53"/>
      <c r="C35" s="54" t="s">
        <v>40</v>
      </c>
      <c r="D35" s="54"/>
      <c r="E35" s="54"/>
      <c r="F35" s="54"/>
      <c r="G35" s="54"/>
      <c r="H35" s="54"/>
      <c r="I35" s="54"/>
      <c r="J35" s="54"/>
      <c r="K35" s="54"/>
      <c r="L35" s="54"/>
    </row>
    <row r="37" spans="1:12" ht="24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</row>
  </sheetData>
  <mergeCells count="44">
    <mergeCell ref="A37:L37"/>
    <mergeCell ref="A33:B33"/>
    <mergeCell ref="C33:L33"/>
    <mergeCell ref="A34:B34"/>
    <mergeCell ref="C34:L34"/>
    <mergeCell ref="A35:B35"/>
    <mergeCell ref="C35:L35"/>
    <mergeCell ref="A30:L30"/>
    <mergeCell ref="A31:B31"/>
    <mergeCell ref="C31:L31"/>
    <mergeCell ref="A32:B32"/>
    <mergeCell ref="C32:L32"/>
    <mergeCell ref="A27:B27"/>
    <mergeCell ref="C27:D27"/>
    <mergeCell ref="E27:F27"/>
    <mergeCell ref="G27:H27"/>
    <mergeCell ref="I27:J27"/>
    <mergeCell ref="A26:B26"/>
    <mergeCell ref="C26:D26"/>
    <mergeCell ref="E26:F26"/>
    <mergeCell ref="G26:H26"/>
    <mergeCell ref="I26:J26"/>
    <mergeCell ref="A24:L24"/>
    <mergeCell ref="A25:B25"/>
    <mergeCell ref="C25:D25"/>
    <mergeCell ref="E25:F25"/>
    <mergeCell ref="G25:H25"/>
    <mergeCell ref="I25:J25"/>
    <mergeCell ref="A15:A17"/>
    <mergeCell ref="B15:L15"/>
    <mergeCell ref="B16:L17"/>
    <mergeCell ref="A19:A21"/>
    <mergeCell ref="B19:L19"/>
    <mergeCell ref="B20:L21"/>
    <mergeCell ref="A8:L8"/>
    <mergeCell ref="A10:L10"/>
    <mergeCell ref="A11:A13"/>
    <mergeCell ref="B11:L11"/>
    <mergeCell ref="B12:L13"/>
    <mergeCell ref="A1:L1"/>
    <mergeCell ref="A2:L2"/>
    <mergeCell ref="A3:L3"/>
    <mergeCell ref="A5:L5"/>
    <mergeCell ref="A7:L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showGridLines="0" topLeftCell="A25" zoomScaleNormal="100" workbookViewId="0">
      <selection activeCell="A26" sqref="A26:N26"/>
    </sheetView>
  </sheetViews>
  <sheetFormatPr defaultColWidth="8.7109375" defaultRowHeight="15"/>
  <cols>
    <col min="1" max="1" width="22" style="1" customWidth="1"/>
    <col min="2" max="2" width="12" style="1" customWidth="1"/>
    <col min="3" max="4" width="10" style="1" customWidth="1"/>
    <col min="5" max="5" width="65" style="1" customWidth="1"/>
    <col min="6" max="14" width="1" style="1" customWidth="1"/>
  </cols>
  <sheetData>
    <row r="1" spans="1:14" ht="33.75" customHeight="1">
      <c r="A1" s="56" t="s">
        <v>41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8" customHeight="1">
      <c r="A2" s="37" t="s">
        <v>42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19.5" customHeight="1">
      <c r="A4" s="40" t="s">
        <v>43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ht="19.5" customHeight="1">
      <c r="A5" s="2" t="s">
        <v>44</v>
      </c>
      <c r="B5" s="57" t="s">
        <v>45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 ht="19.5" customHeight="1">
      <c r="A6" s="3" t="s">
        <v>46</v>
      </c>
      <c r="B6" s="58" t="s">
        <v>47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spans="1:14" ht="19.5" customHeight="1">
      <c r="A7" s="2" t="s">
        <v>48</v>
      </c>
      <c r="B7" s="57" t="s">
        <v>49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1:14" ht="19.5" customHeight="1">
      <c r="A8" s="3" t="s">
        <v>50</v>
      </c>
      <c r="B8" s="58" t="s">
        <v>51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</row>
    <row r="9" spans="1:14" ht="19.5" customHeight="1">
      <c r="A9" s="2" t="s">
        <v>52</v>
      </c>
      <c r="B9" s="57" t="s">
        <v>53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</row>
    <row r="10" spans="1:14" ht="19.5" customHeight="1">
      <c r="A10" s="3" t="s">
        <v>54</v>
      </c>
      <c r="B10" s="58" t="s">
        <v>55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spans="1:14" ht="19.5" customHeight="1">
      <c r="A11" s="2" t="s">
        <v>56</v>
      </c>
      <c r="B11" s="57" t="s">
        <v>57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</row>
    <row r="12" spans="1:14" ht="19.5" customHeight="1">
      <c r="A12" s="3" t="s">
        <v>58</v>
      </c>
      <c r="B12" s="58" t="s">
        <v>59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</row>
    <row r="14" spans="1:14" ht="19.5" customHeight="1">
      <c r="A14" s="40" t="s">
        <v>60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4" ht="21.75" customHeight="1">
      <c r="A15" s="2" t="s">
        <v>61</v>
      </c>
      <c r="B15" s="59" t="s">
        <v>62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 ht="21.75" customHeight="1">
      <c r="A16" s="3" t="s">
        <v>63</v>
      </c>
      <c r="B16" s="60" t="s">
        <v>64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 spans="1:14" ht="21.75" customHeight="1">
      <c r="A17" s="2" t="s">
        <v>65</v>
      </c>
      <c r="B17" s="59" t="s">
        <v>66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</row>
    <row r="18" spans="1:14" ht="21.75" customHeight="1">
      <c r="A18" s="3" t="s">
        <v>67</v>
      </c>
      <c r="B18" s="60" t="s">
        <v>68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spans="1:14" ht="21.75" customHeight="1">
      <c r="A19" s="2" t="s">
        <v>69</v>
      </c>
      <c r="B19" s="59" t="s">
        <v>70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</row>
    <row r="20" spans="1:14" ht="21.75" customHeight="1">
      <c r="A20" s="3" t="s">
        <v>71</v>
      </c>
      <c r="B20" s="60" t="s">
        <v>72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</row>
    <row r="21" spans="1:14" ht="21.75" customHeight="1">
      <c r="A21" s="2" t="s">
        <v>73</v>
      </c>
      <c r="B21" s="59" t="s">
        <v>74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 ht="21.75" customHeight="1">
      <c r="A22" s="3" t="s">
        <v>75</v>
      </c>
      <c r="B22" s="60" t="s">
        <v>76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spans="1:14" ht="21.75" customHeight="1">
      <c r="A23" s="2" t="s">
        <v>77</v>
      </c>
      <c r="B23" s="59" t="s">
        <v>78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 ht="21.75" customHeight="1">
      <c r="A24" s="3" t="s">
        <v>79</v>
      </c>
      <c r="B24" s="60" t="s">
        <v>80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</row>
    <row r="26" spans="1:14" ht="19.5" customHeight="1">
      <c r="A26" s="42" t="s">
        <v>81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4" ht="27.75" customHeight="1">
      <c r="A27" s="2" t="s">
        <v>82</v>
      </c>
      <c r="B27" s="61" t="s">
        <v>83</v>
      </c>
      <c r="C27" s="61"/>
      <c r="D27" s="61"/>
      <c r="E27" s="60" t="s">
        <v>84</v>
      </c>
      <c r="F27" s="60"/>
      <c r="G27" s="60"/>
      <c r="H27" s="60"/>
      <c r="I27" s="60"/>
      <c r="J27" s="60"/>
      <c r="K27" s="60"/>
      <c r="L27" s="60"/>
      <c r="M27" s="60"/>
      <c r="N27" s="60"/>
    </row>
    <row r="28" spans="1:14" ht="27.75" customHeight="1">
      <c r="A28" s="2" t="s">
        <v>85</v>
      </c>
      <c r="B28" s="61" t="s">
        <v>86</v>
      </c>
      <c r="C28" s="61"/>
      <c r="D28" s="61"/>
      <c r="E28" s="60" t="s">
        <v>87</v>
      </c>
      <c r="F28" s="60"/>
      <c r="G28" s="60"/>
      <c r="H28" s="60"/>
      <c r="I28" s="60"/>
      <c r="J28" s="60"/>
      <c r="K28" s="60"/>
      <c r="L28" s="60"/>
      <c r="M28" s="60"/>
      <c r="N28" s="60"/>
    </row>
    <row r="29" spans="1:14" ht="27.75" customHeight="1">
      <c r="A29" s="2" t="s">
        <v>88</v>
      </c>
      <c r="B29" s="61" t="s">
        <v>89</v>
      </c>
      <c r="C29" s="61"/>
      <c r="D29" s="61"/>
      <c r="E29" s="60" t="s">
        <v>90</v>
      </c>
      <c r="F29" s="60"/>
      <c r="G29" s="60"/>
      <c r="H29" s="60"/>
      <c r="I29" s="60"/>
      <c r="J29" s="60"/>
      <c r="K29" s="60"/>
      <c r="L29" s="60"/>
      <c r="M29" s="60"/>
      <c r="N29" s="60"/>
    </row>
    <row r="30" spans="1:14" ht="27.75" customHeight="1">
      <c r="A30" s="2" t="s">
        <v>91</v>
      </c>
      <c r="B30" s="62" t="s">
        <v>92</v>
      </c>
      <c r="C30" s="62"/>
      <c r="D30" s="62"/>
      <c r="E30" s="60" t="s">
        <v>93</v>
      </c>
      <c r="F30" s="60"/>
      <c r="G30" s="60"/>
      <c r="H30" s="60"/>
      <c r="I30" s="60"/>
      <c r="J30" s="60"/>
      <c r="K30" s="60"/>
      <c r="L30" s="60"/>
      <c r="M30" s="60"/>
      <c r="N30" s="60"/>
    </row>
    <row r="31" spans="1:14" ht="27.75" customHeight="1">
      <c r="A31" s="2" t="s">
        <v>94</v>
      </c>
      <c r="B31" s="62" t="s">
        <v>95</v>
      </c>
      <c r="C31" s="62"/>
      <c r="D31" s="62"/>
      <c r="E31" s="60" t="s">
        <v>96</v>
      </c>
      <c r="F31" s="60"/>
      <c r="G31" s="60"/>
      <c r="H31" s="60"/>
      <c r="I31" s="60"/>
      <c r="J31" s="60"/>
      <c r="K31" s="60"/>
      <c r="L31" s="60"/>
      <c r="M31" s="60"/>
      <c r="N31" s="60"/>
    </row>
    <row r="32" spans="1:14" ht="27.75" customHeight="1">
      <c r="A32" s="2" t="s">
        <v>97</v>
      </c>
      <c r="B32" s="61" t="s">
        <v>98</v>
      </c>
      <c r="C32" s="61"/>
      <c r="D32" s="61"/>
      <c r="E32" s="60" t="s">
        <v>99</v>
      </c>
      <c r="F32" s="60"/>
      <c r="G32" s="60"/>
      <c r="H32" s="60"/>
      <c r="I32" s="60"/>
      <c r="J32" s="60"/>
      <c r="K32" s="60"/>
      <c r="L32" s="60"/>
      <c r="M32" s="60"/>
      <c r="N32" s="60"/>
    </row>
  </sheetData>
  <mergeCells count="36">
    <mergeCell ref="B31:D31"/>
    <mergeCell ref="E31:N31"/>
    <mergeCell ref="B32:D32"/>
    <mergeCell ref="E32:N32"/>
    <mergeCell ref="B28:D28"/>
    <mergeCell ref="E28:N28"/>
    <mergeCell ref="B29:D29"/>
    <mergeCell ref="E29:N29"/>
    <mergeCell ref="B30:D30"/>
    <mergeCell ref="E30:N30"/>
    <mergeCell ref="B22:N22"/>
    <mergeCell ref="B23:N23"/>
    <mergeCell ref="B24:N24"/>
    <mergeCell ref="A26:N26"/>
    <mergeCell ref="B27:D27"/>
    <mergeCell ref="E27:N27"/>
    <mergeCell ref="B17:N17"/>
    <mergeCell ref="B18:N18"/>
    <mergeCell ref="B19:N19"/>
    <mergeCell ref="B20:N20"/>
    <mergeCell ref="B21:N21"/>
    <mergeCell ref="B11:N11"/>
    <mergeCell ref="B12:N12"/>
    <mergeCell ref="A14:N14"/>
    <mergeCell ref="B15:N15"/>
    <mergeCell ref="B16:N16"/>
    <mergeCell ref="B6:N6"/>
    <mergeCell ref="B7:N7"/>
    <mergeCell ref="B8:N8"/>
    <mergeCell ref="B9:N9"/>
    <mergeCell ref="B10:N10"/>
    <mergeCell ref="A1:N1"/>
    <mergeCell ref="A2:N2"/>
    <mergeCell ref="A3:N3"/>
    <mergeCell ref="A4:N4"/>
    <mergeCell ref="B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showGridLines="0" topLeftCell="A8" zoomScaleNormal="100" workbookViewId="0">
      <selection activeCell="B12" sqref="B12:F12"/>
    </sheetView>
  </sheetViews>
  <sheetFormatPr defaultColWidth="8.7109375" defaultRowHeight="15"/>
  <cols>
    <col min="1" max="1" width="8" style="1" customWidth="1"/>
    <col min="2" max="2" width="20" style="1" customWidth="1"/>
    <col min="3" max="3" width="14" style="1" customWidth="1"/>
    <col min="4" max="7" width="8" style="1" customWidth="1"/>
    <col min="8" max="8" width="14" style="1" customWidth="1"/>
    <col min="9" max="9" width="10" style="1" customWidth="1"/>
    <col min="10" max="10" width="8" style="1" customWidth="1"/>
    <col min="11" max="11" width="16" style="1" customWidth="1"/>
    <col min="12" max="13" width="8" style="1" customWidth="1"/>
    <col min="14" max="14" width="14" style="1" customWidth="1"/>
  </cols>
  <sheetData>
    <row r="1" spans="1:14" ht="33.75" customHeight="1">
      <c r="A1" s="63" t="s">
        <v>100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18" customHeight="1">
      <c r="A2" s="37" t="s">
        <v>101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7.5" customHeight="1"/>
    <row r="5" spans="1:14" ht="36" customHeight="1">
      <c r="A5" s="64" t="s">
        <v>102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7.75" customHeight="1">
      <c r="A6" s="65" t="s">
        <v>103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8" spans="1:14" ht="19.5" customHeight="1">
      <c r="A8" s="40" t="s">
        <v>104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4" ht="30" customHeight="1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/>
    </row>
    <row r="10" spans="1:14" ht="25.5" customHeight="1">
      <c r="A10" s="5" t="s">
        <v>110</v>
      </c>
      <c r="B10" s="59" t="s">
        <v>111</v>
      </c>
      <c r="C10" s="59"/>
      <c r="D10" s="59"/>
      <c r="E10" s="59"/>
      <c r="F10" s="59"/>
      <c r="G10" s="6" t="s">
        <v>112</v>
      </c>
      <c r="H10" s="59" t="s">
        <v>113</v>
      </c>
      <c r="I10" s="59"/>
      <c r="J10" s="59"/>
      <c r="K10" s="59"/>
      <c r="L10" s="66" t="s">
        <v>114</v>
      </c>
      <c r="M10" s="66"/>
      <c r="N10" s="66"/>
    </row>
    <row r="11" spans="1:14" ht="25.5" customHeight="1">
      <c r="A11" s="7" t="s">
        <v>115</v>
      </c>
      <c r="B11" s="60" t="s">
        <v>116</v>
      </c>
      <c r="C11" s="60"/>
      <c r="D11" s="60"/>
      <c r="E11" s="60"/>
      <c r="F11" s="60"/>
      <c r="G11" s="8" t="s">
        <v>117</v>
      </c>
      <c r="H11" s="60" t="s">
        <v>118</v>
      </c>
      <c r="I11" s="60"/>
      <c r="J11" s="60"/>
      <c r="K11" s="60"/>
      <c r="L11" s="66" t="s">
        <v>119</v>
      </c>
      <c r="M11" s="66"/>
      <c r="N11" s="66"/>
    </row>
    <row r="12" spans="1:14" ht="25.5" customHeight="1">
      <c r="A12" s="5" t="s">
        <v>120</v>
      </c>
      <c r="B12" s="59" t="s">
        <v>121</v>
      </c>
      <c r="C12" s="59"/>
      <c r="D12" s="59"/>
      <c r="E12" s="59"/>
      <c r="F12" s="59"/>
      <c r="G12" s="6" t="s">
        <v>122</v>
      </c>
      <c r="H12" s="59" t="s">
        <v>123</v>
      </c>
      <c r="I12" s="59"/>
      <c r="J12" s="59"/>
      <c r="K12" s="59"/>
      <c r="L12" s="67" t="s">
        <v>124</v>
      </c>
      <c r="M12" s="67"/>
      <c r="N12" s="67"/>
    </row>
    <row r="13" spans="1:14" ht="25.5" customHeight="1">
      <c r="A13" s="7" t="s">
        <v>125</v>
      </c>
      <c r="B13" s="60" t="s">
        <v>126</v>
      </c>
      <c r="C13" s="60"/>
      <c r="D13" s="60"/>
      <c r="E13" s="60"/>
      <c r="F13" s="60"/>
      <c r="G13" s="8" t="s">
        <v>112</v>
      </c>
      <c r="H13" s="60" t="s">
        <v>127</v>
      </c>
      <c r="I13" s="60"/>
      <c r="J13" s="60"/>
      <c r="K13" s="60"/>
      <c r="L13" s="67" t="s">
        <v>128</v>
      </c>
      <c r="M13" s="67"/>
      <c r="N13" s="67"/>
    </row>
    <row r="14" spans="1:14" ht="25.5" customHeight="1">
      <c r="A14" s="5" t="s">
        <v>129</v>
      </c>
      <c r="B14" s="59" t="s">
        <v>130</v>
      </c>
      <c r="C14" s="59"/>
      <c r="D14" s="59"/>
      <c r="E14" s="59"/>
      <c r="F14" s="59"/>
      <c r="G14" s="6" t="s">
        <v>117</v>
      </c>
      <c r="H14" s="59" t="s">
        <v>131</v>
      </c>
      <c r="I14" s="59"/>
      <c r="J14" s="59"/>
      <c r="K14" s="59"/>
      <c r="L14" s="68" t="s">
        <v>132</v>
      </c>
      <c r="M14" s="68"/>
      <c r="N14" s="68"/>
    </row>
    <row r="15" spans="1:14" ht="25.5" customHeight="1">
      <c r="A15" s="7" t="s">
        <v>133</v>
      </c>
      <c r="B15" s="60" t="s">
        <v>134</v>
      </c>
      <c r="C15" s="60"/>
      <c r="D15" s="60"/>
      <c r="E15" s="60"/>
      <c r="F15" s="60"/>
      <c r="G15" s="8" t="s">
        <v>117</v>
      </c>
      <c r="H15" s="60" t="s">
        <v>135</v>
      </c>
      <c r="I15" s="60"/>
      <c r="J15" s="60"/>
      <c r="K15" s="60"/>
      <c r="L15" s="67" t="s">
        <v>136</v>
      </c>
      <c r="M15" s="67"/>
      <c r="N15" s="67"/>
    </row>
    <row r="17" spans="1:14" ht="19.5" customHeight="1">
      <c r="A17" s="40" t="s">
        <v>137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4" ht="31.5" customHeight="1">
      <c r="A18" s="4" t="s">
        <v>138</v>
      </c>
      <c r="B18" s="4" t="s">
        <v>139</v>
      </c>
      <c r="C18" s="4" t="s">
        <v>140</v>
      </c>
      <c r="D18" s="4" t="s">
        <v>141</v>
      </c>
      <c r="E18" s="4" t="s">
        <v>142</v>
      </c>
    </row>
    <row r="19" spans="1:14" ht="24" customHeight="1">
      <c r="A19" s="5" t="s">
        <v>143</v>
      </c>
      <c r="B19" s="32" t="s">
        <v>144</v>
      </c>
      <c r="C19" s="59" t="s">
        <v>145</v>
      </c>
      <c r="D19" s="59"/>
      <c r="E19" s="59"/>
      <c r="F19" s="59"/>
      <c r="G19" s="59"/>
      <c r="H19" s="59"/>
      <c r="I19" s="59"/>
      <c r="J19" s="59"/>
      <c r="K19" s="67" t="s">
        <v>146</v>
      </c>
      <c r="L19" s="67"/>
      <c r="M19" s="67"/>
      <c r="N19" s="6" t="s">
        <v>147</v>
      </c>
    </row>
    <row r="20" spans="1:14" ht="24" customHeight="1">
      <c r="A20" s="7" t="s">
        <v>148</v>
      </c>
      <c r="B20" s="33" t="s">
        <v>149</v>
      </c>
      <c r="C20" s="60" t="s">
        <v>150</v>
      </c>
      <c r="D20" s="60"/>
      <c r="E20" s="60"/>
      <c r="F20" s="60"/>
      <c r="G20" s="60"/>
      <c r="H20" s="60"/>
      <c r="I20" s="60"/>
      <c r="J20" s="60"/>
      <c r="K20" s="69" t="s">
        <v>151</v>
      </c>
      <c r="L20" s="69"/>
      <c r="M20" s="69"/>
      <c r="N20" s="8" t="s">
        <v>147</v>
      </c>
    </row>
    <row r="21" spans="1:14" ht="24" customHeight="1">
      <c r="A21" s="5" t="s">
        <v>152</v>
      </c>
      <c r="B21" s="32" t="s">
        <v>153</v>
      </c>
      <c r="C21" s="59" t="s">
        <v>154</v>
      </c>
      <c r="D21" s="59"/>
      <c r="E21" s="59"/>
      <c r="F21" s="59"/>
      <c r="G21" s="59"/>
      <c r="H21" s="59"/>
      <c r="I21" s="59"/>
      <c r="J21" s="59"/>
      <c r="K21" s="69" t="s">
        <v>155</v>
      </c>
      <c r="L21" s="69"/>
      <c r="M21" s="69"/>
      <c r="N21" s="6" t="s">
        <v>156</v>
      </c>
    </row>
    <row r="22" spans="1:14" ht="24" customHeight="1">
      <c r="A22" s="7" t="s">
        <v>157</v>
      </c>
      <c r="B22" s="33" t="s">
        <v>158</v>
      </c>
      <c r="C22" s="60" t="s">
        <v>159</v>
      </c>
      <c r="D22" s="60"/>
      <c r="E22" s="60"/>
      <c r="F22" s="60"/>
      <c r="G22" s="60"/>
      <c r="H22" s="60"/>
      <c r="I22" s="60"/>
      <c r="J22" s="60"/>
      <c r="K22" s="67" t="s">
        <v>146</v>
      </c>
      <c r="L22" s="67"/>
      <c r="M22" s="67"/>
      <c r="N22" s="8" t="s">
        <v>147</v>
      </c>
    </row>
    <row r="23" spans="1:14" ht="24" customHeight="1">
      <c r="A23" s="5" t="s">
        <v>160</v>
      </c>
      <c r="B23" s="32" t="s">
        <v>161</v>
      </c>
      <c r="C23" s="59" t="s">
        <v>162</v>
      </c>
      <c r="D23" s="59"/>
      <c r="E23" s="59"/>
      <c r="F23" s="59"/>
      <c r="G23" s="59"/>
      <c r="H23" s="59"/>
      <c r="I23" s="59"/>
      <c r="J23" s="59"/>
      <c r="K23" s="67" t="s">
        <v>146</v>
      </c>
      <c r="L23" s="67"/>
      <c r="M23" s="67"/>
      <c r="N23" s="6" t="s">
        <v>156</v>
      </c>
    </row>
    <row r="24" spans="1:14" ht="24" customHeight="1">
      <c r="A24" s="7" t="s">
        <v>163</v>
      </c>
      <c r="B24" s="33" t="s">
        <v>164</v>
      </c>
      <c r="C24" s="60" t="s">
        <v>165</v>
      </c>
      <c r="D24" s="60"/>
      <c r="E24" s="60"/>
      <c r="F24" s="60"/>
      <c r="G24" s="60"/>
      <c r="H24" s="60"/>
      <c r="I24" s="60"/>
      <c r="J24" s="60"/>
      <c r="K24" s="67" t="s">
        <v>166</v>
      </c>
      <c r="L24" s="67"/>
      <c r="M24" s="67"/>
      <c r="N24" s="9" t="s">
        <v>167</v>
      </c>
    </row>
    <row r="25" spans="1:14" ht="24" customHeight="1">
      <c r="A25" s="5" t="s">
        <v>168</v>
      </c>
      <c r="B25" s="32" t="s">
        <v>169</v>
      </c>
      <c r="C25" s="59" t="s">
        <v>170</v>
      </c>
      <c r="D25" s="59"/>
      <c r="E25" s="59"/>
      <c r="F25" s="59"/>
      <c r="G25" s="59"/>
      <c r="H25" s="59"/>
      <c r="I25" s="59"/>
      <c r="J25" s="59"/>
      <c r="K25" s="69" t="s">
        <v>171</v>
      </c>
      <c r="L25" s="69"/>
      <c r="M25" s="69"/>
      <c r="N25" s="6" t="s">
        <v>172</v>
      </c>
    </row>
    <row r="26" spans="1:14" ht="24" customHeight="1">
      <c r="A26" s="7" t="s">
        <v>173</v>
      </c>
      <c r="B26" s="33" t="s">
        <v>174</v>
      </c>
      <c r="C26" s="60" t="s">
        <v>175</v>
      </c>
      <c r="D26" s="60"/>
      <c r="E26" s="60"/>
      <c r="F26" s="60"/>
      <c r="G26" s="60"/>
      <c r="H26" s="60"/>
      <c r="I26" s="60"/>
      <c r="J26" s="60"/>
      <c r="K26" s="67" t="s">
        <v>176</v>
      </c>
      <c r="L26" s="67"/>
      <c r="M26" s="67"/>
      <c r="N26" s="8" t="s">
        <v>172</v>
      </c>
    </row>
    <row r="28" spans="1:14" ht="7.5" customHeight="1"/>
    <row r="29" spans="1:14" ht="25.5" customHeight="1">
      <c r="A29" s="42" t="s">
        <v>177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</sheetData>
  <mergeCells count="42">
    <mergeCell ref="A29:N29"/>
    <mergeCell ref="C24:J24"/>
    <mergeCell ref="K24:M24"/>
    <mergeCell ref="C25:J25"/>
    <mergeCell ref="K25:M25"/>
    <mergeCell ref="C26:J26"/>
    <mergeCell ref="K26:M26"/>
    <mergeCell ref="C21:J21"/>
    <mergeCell ref="K21:M21"/>
    <mergeCell ref="C22:J22"/>
    <mergeCell ref="K22:M22"/>
    <mergeCell ref="C23:J23"/>
    <mergeCell ref="K23:M23"/>
    <mergeCell ref="A17:N17"/>
    <mergeCell ref="C19:J19"/>
    <mergeCell ref="K19:M19"/>
    <mergeCell ref="C20:J20"/>
    <mergeCell ref="K20:M20"/>
    <mergeCell ref="B14:F14"/>
    <mergeCell ref="H14:K14"/>
    <mergeCell ref="L14:N14"/>
    <mergeCell ref="B15:F15"/>
    <mergeCell ref="H15:K15"/>
    <mergeCell ref="L15:N15"/>
    <mergeCell ref="B12:F12"/>
    <mergeCell ref="H12:K12"/>
    <mergeCell ref="L12:N12"/>
    <mergeCell ref="B13:F13"/>
    <mergeCell ref="H13:K13"/>
    <mergeCell ref="L13:N13"/>
    <mergeCell ref="A8:N8"/>
    <mergeCell ref="B10:F10"/>
    <mergeCell ref="H10:K10"/>
    <mergeCell ref="L10:N10"/>
    <mergeCell ref="B11:F11"/>
    <mergeCell ref="H11:K11"/>
    <mergeCell ref="L11:N11"/>
    <mergeCell ref="A1:N1"/>
    <mergeCell ref="A2:N2"/>
    <mergeCell ref="A3:N3"/>
    <mergeCell ref="A5:N5"/>
    <mergeCell ref="A6:N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"/>
  <sheetViews>
    <sheetView showGridLines="0" topLeftCell="A4" zoomScaleNormal="100" workbookViewId="0">
      <selection activeCell="A4" sqref="A4:N4"/>
    </sheetView>
  </sheetViews>
  <sheetFormatPr defaultColWidth="8.7109375" defaultRowHeight="15"/>
  <cols>
    <col min="1" max="1" width="6" style="1" customWidth="1"/>
    <col min="2" max="2" width="18" style="1" customWidth="1"/>
    <col min="3" max="3" width="48" style="1" customWidth="1"/>
    <col min="4" max="4" width="24" style="1" customWidth="1"/>
    <col min="5" max="6" width="8" style="1" customWidth="1"/>
    <col min="7" max="7" width="12" style="1" customWidth="1"/>
    <col min="8" max="8" width="7" style="1" customWidth="1"/>
    <col min="9" max="9" width="14" style="1" customWidth="1"/>
    <col min="10" max="10" width="8" style="1" customWidth="1"/>
  </cols>
  <sheetData>
    <row r="1" spans="1:14" ht="33.75" customHeight="1">
      <c r="A1" s="70" t="s">
        <v>178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8" customHeight="1">
      <c r="A2" s="37" t="s">
        <v>179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27.75" customHeight="1">
      <c r="A4" s="71" t="s">
        <v>180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ht="19.5" customHeight="1">
      <c r="A5" s="40" t="s">
        <v>181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ht="37.5" customHeight="1">
      <c r="A6" s="4" t="s">
        <v>105</v>
      </c>
      <c r="B6" s="4" t="s">
        <v>182</v>
      </c>
      <c r="C6" s="4" t="s">
        <v>183</v>
      </c>
      <c r="D6" s="4" t="s">
        <v>184</v>
      </c>
      <c r="E6" s="4" t="s">
        <v>185</v>
      </c>
      <c r="F6" s="4" t="s">
        <v>186</v>
      </c>
      <c r="G6" s="4" t="s">
        <v>187</v>
      </c>
      <c r="H6" s="4" t="s">
        <v>188</v>
      </c>
      <c r="I6" s="4" t="s">
        <v>189</v>
      </c>
      <c r="J6" s="4" t="s">
        <v>190</v>
      </c>
    </row>
    <row r="7" spans="1:14" ht="27.75" customHeight="1">
      <c r="A7" s="30" t="s">
        <v>191</v>
      </c>
      <c r="B7" s="27" t="s">
        <v>164</v>
      </c>
      <c r="C7" s="27" t="s">
        <v>192</v>
      </c>
      <c r="D7" s="27" t="s">
        <v>193</v>
      </c>
      <c r="E7" s="30" t="s">
        <v>194</v>
      </c>
      <c r="F7" s="30" t="s">
        <v>195</v>
      </c>
      <c r="G7" s="35" t="s">
        <v>196</v>
      </c>
      <c r="H7" s="30">
        <v>15</v>
      </c>
      <c r="I7" s="27" t="s">
        <v>197</v>
      </c>
      <c r="J7" s="35" t="s">
        <v>198</v>
      </c>
    </row>
    <row r="8" spans="1:14" ht="27.75" customHeight="1">
      <c r="A8" s="31" t="s">
        <v>199</v>
      </c>
      <c r="B8" s="26" t="s">
        <v>164</v>
      </c>
      <c r="C8" s="26" t="s">
        <v>200</v>
      </c>
      <c r="D8" s="26" t="s">
        <v>201</v>
      </c>
      <c r="E8" s="31" t="s">
        <v>194</v>
      </c>
      <c r="F8" s="31" t="s">
        <v>195</v>
      </c>
      <c r="G8" s="34" t="s">
        <v>202</v>
      </c>
      <c r="H8" s="31">
        <v>10</v>
      </c>
      <c r="I8" s="26" t="s">
        <v>191</v>
      </c>
      <c r="J8" s="34" t="s">
        <v>203</v>
      </c>
    </row>
    <row r="9" spans="1:14" ht="27.75" customHeight="1">
      <c r="A9" s="30" t="s">
        <v>204</v>
      </c>
      <c r="B9" s="27" t="s">
        <v>205</v>
      </c>
      <c r="C9" s="27" t="s">
        <v>206</v>
      </c>
      <c r="D9" s="27" t="s">
        <v>207</v>
      </c>
      <c r="E9" s="30" t="s">
        <v>208</v>
      </c>
      <c r="F9" s="30" t="s">
        <v>194</v>
      </c>
      <c r="G9" s="19" t="s">
        <v>209</v>
      </c>
      <c r="H9" s="30">
        <v>5</v>
      </c>
      <c r="I9" s="27" t="s">
        <v>197</v>
      </c>
      <c r="J9" s="20" t="s">
        <v>210</v>
      </c>
    </row>
    <row r="10" spans="1:14" ht="27.75" customHeight="1">
      <c r="A10" s="31" t="s">
        <v>211</v>
      </c>
      <c r="B10" s="26" t="s">
        <v>205</v>
      </c>
      <c r="C10" s="26" t="s">
        <v>212</v>
      </c>
      <c r="D10" s="26" t="s">
        <v>213</v>
      </c>
      <c r="E10" s="31" t="s">
        <v>194</v>
      </c>
      <c r="F10" s="31" t="s">
        <v>195</v>
      </c>
      <c r="G10" s="35" t="s">
        <v>196</v>
      </c>
      <c r="H10" s="31">
        <v>20</v>
      </c>
      <c r="I10" s="26" t="s">
        <v>204</v>
      </c>
      <c r="J10" s="35" t="s">
        <v>198</v>
      </c>
    </row>
    <row r="11" spans="1:14" ht="27.75" customHeight="1">
      <c r="A11" s="30" t="s">
        <v>214</v>
      </c>
      <c r="B11" s="27" t="s">
        <v>205</v>
      </c>
      <c r="C11" s="27" t="s">
        <v>215</v>
      </c>
      <c r="D11" s="27" t="s">
        <v>207</v>
      </c>
      <c r="E11" s="30" t="s">
        <v>195</v>
      </c>
      <c r="F11" s="30" t="s">
        <v>216</v>
      </c>
      <c r="G11" s="34" t="s">
        <v>202</v>
      </c>
      <c r="H11" s="30">
        <v>25</v>
      </c>
      <c r="I11" s="27" t="s">
        <v>211</v>
      </c>
      <c r="J11" s="34" t="s">
        <v>203</v>
      </c>
    </row>
    <row r="12" spans="1:14" ht="27.75" customHeight="1">
      <c r="A12" s="31" t="s">
        <v>217</v>
      </c>
      <c r="B12" s="26" t="s">
        <v>218</v>
      </c>
      <c r="C12" s="26" t="s">
        <v>219</v>
      </c>
      <c r="D12" s="26" t="s">
        <v>220</v>
      </c>
      <c r="E12" s="31" t="s">
        <v>195</v>
      </c>
      <c r="F12" s="31" t="s">
        <v>216</v>
      </c>
      <c r="G12" s="34" t="s">
        <v>202</v>
      </c>
      <c r="H12" s="31">
        <v>20</v>
      </c>
      <c r="I12" s="26" t="s">
        <v>191</v>
      </c>
      <c r="J12" s="34" t="s">
        <v>203</v>
      </c>
    </row>
    <row r="13" spans="1:14" ht="27.75" customHeight="1">
      <c r="A13" s="30" t="s">
        <v>221</v>
      </c>
      <c r="B13" s="27" t="s">
        <v>218</v>
      </c>
      <c r="C13" s="27" t="s">
        <v>222</v>
      </c>
      <c r="D13" s="27" t="s">
        <v>223</v>
      </c>
      <c r="E13" s="30" t="s">
        <v>194</v>
      </c>
      <c r="F13" s="30" t="s">
        <v>195</v>
      </c>
      <c r="G13" s="35" t="s">
        <v>196</v>
      </c>
      <c r="H13" s="30">
        <v>5</v>
      </c>
      <c r="I13" s="27" t="s">
        <v>197</v>
      </c>
      <c r="J13" s="35" t="s">
        <v>198</v>
      </c>
    </row>
    <row r="14" spans="1:14" ht="27.75" customHeight="1">
      <c r="A14" s="31" t="s">
        <v>224</v>
      </c>
      <c r="B14" s="26" t="s">
        <v>225</v>
      </c>
      <c r="C14" s="26" t="s">
        <v>226</v>
      </c>
      <c r="D14" s="26" t="s">
        <v>227</v>
      </c>
      <c r="E14" s="31" t="s">
        <v>194</v>
      </c>
      <c r="F14" s="31" t="s">
        <v>216</v>
      </c>
      <c r="G14" s="35" t="s">
        <v>196</v>
      </c>
      <c r="H14" s="31">
        <v>30</v>
      </c>
      <c r="I14" s="26" t="s">
        <v>211</v>
      </c>
      <c r="J14" s="35" t="s">
        <v>198</v>
      </c>
    </row>
    <row r="15" spans="1:14" ht="27.75" customHeight="1">
      <c r="A15" s="30" t="s">
        <v>228</v>
      </c>
      <c r="B15" s="27" t="s">
        <v>225</v>
      </c>
      <c r="C15" s="27" t="s">
        <v>229</v>
      </c>
      <c r="D15" s="27" t="s">
        <v>230</v>
      </c>
      <c r="E15" s="30" t="s">
        <v>194</v>
      </c>
      <c r="F15" s="30" t="s">
        <v>195</v>
      </c>
      <c r="G15" s="34" t="s">
        <v>202</v>
      </c>
      <c r="H15" s="30">
        <v>10</v>
      </c>
      <c r="I15" s="27" t="s">
        <v>197</v>
      </c>
      <c r="J15" s="34" t="s">
        <v>203</v>
      </c>
    </row>
    <row r="16" spans="1:14" ht="27.75" customHeight="1">
      <c r="A16" s="31" t="s">
        <v>231</v>
      </c>
      <c r="B16" s="26" t="s">
        <v>232</v>
      </c>
      <c r="C16" s="26" t="s">
        <v>233</v>
      </c>
      <c r="D16" s="26" t="s">
        <v>234</v>
      </c>
      <c r="E16" s="31" t="s">
        <v>195</v>
      </c>
      <c r="F16" s="31" t="s">
        <v>216</v>
      </c>
      <c r="G16" s="34" t="s">
        <v>202</v>
      </c>
      <c r="H16" s="31">
        <v>15</v>
      </c>
      <c r="I16" s="26" t="s">
        <v>224</v>
      </c>
      <c r="J16" s="34" t="s">
        <v>203</v>
      </c>
    </row>
    <row r="17" spans="1:14" ht="27.75" customHeight="1">
      <c r="A17" s="30" t="s">
        <v>235</v>
      </c>
      <c r="B17" s="27" t="s">
        <v>232</v>
      </c>
      <c r="C17" s="27" t="s">
        <v>236</v>
      </c>
      <c r="D17" s="27" t="s">
        <v>237</v>
      </c>
      <c r="E17" s="30" t="s">
        <v>216</v>
      </c>
      <c r="F17" s="30" t="s">
        <v>238</v>
      </c>
      <c r="G17" s="34" t="s">
        <v>202</v>
      </c>
      <c r="H17" s="30">
        <v>5</v>
      </c>
      <c r="I17" s="27" t="s">
        <v>239</v>
      </c>
      <c r="J17" s="34" t="s">
        <v>203</v>
      </c>
    </row>
    <row r="18" spans="1:14" ht="27.75" customHeight="1">
      <c r="A18" s="31" t="s">
        <v>240</v>
      </c>
      <c r="B18" s="26" t="s">
        <v>241</v>
      </c>
      <c r="C18" s="26" t="s">
        <v>242</v>
      </c>
      <c r="D18" s="26" t="s">
        <v>243</v>
      </c>
      <c r="E18" s="31" t="s">
        <v>216</v>
      </c>
      <c r="F18" s="31" t="s">
        <v>238</v>
      </c>
      <c r="G18" s="34" t="s">
        <v>202</v>
      </c>
      <c r="H18" s="31">
        <v>10</v>
      </c>
      <c r="I18" s="26" t="s">
        <v>235</v>
      </c>
      <c r="J18" s="34" t="s">
        <v>203</v>
      </c>
    </row>
    <row r="20" spans="1:14" ht="19.5" customHeight="1">
      <c r="A20" s="48" t="s">
        <v>244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</row>
    <row r="21" spans="1:14" ht="19.5" customHeight="1">
      <c r="A21" s="21" t="s">
        <v>245</v>
      </c>
      <c r="B21" s="21" t="s">
        <v>209</v>
      </c>
      <c r="C21" s="21" t="s">
        <v>196</v>
      </c>
      <c r="D21" s="21" t="s">
        <v>202</v>
      </c>
      <c r="E21" s="21" t="s">
        <v>246</v>
      </c>
      <c r="F21" s="21" t="s">
        <v>247</v>
      </c>
    </row>
    <row r="22" spans="1:14" ht="27.75" customHeight="1">
      <c r="A22" s="22">
        <f>COUNTA(A7:A18)</f>
        <v>12</v>
      </c>
      <c r="B22" s="22">
        <f>COUNTIF(G7:G18,"Complete")</f>
        <v>1</v>
      </c>
      <c r="C22" s="22">
        <f>COUNTIF(G7:G18,"In Progress")</f>
        <v>4</v>
      </c>
      <c r="D22" s="22">
        <f>COUNTIF(G7:G18,"Not Started")</f>
        <v>7</v>
      </c>
      <c r="E22" s="22">
        <f>COUNTIF(J7:J18,"RED")</f>
        <v>7</v>
      </c>
      <c r="F22" s="22">
        <f>SUM(H7:H18)</f>
        <v>170</v>
      </c>
    </row>
  </sheetData>
  <mergeCells count="6">
    <mergeCell ref="A20:N20"/>
    <mergeCell ref="A1:N1"/>
    <mergeCell ref="A2:N2"/>
    <mergeCell ref="A3:N3"/>
    <mergeCell ref="A4:N4"/>
    <mergeCell ref="A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9"/>
  <sheetViews>
    <sheetView showGridLines="0" zoomScaleNormal="100" workbookViewId="0">
      <pane ySplit="5" topLeftCell="A6" activePane="bottomLeft" state="frozen"/>
      <selection pane="bottomLeft" activeCell="G8" sqref="G8"/>
    </sheetView>
  </sheetViews>
  <sheetFormatPr defaultColWidth="8.7109375" defaultRowHeight="15"/>
  <cols>
    <col min="1" max="1" width="7" style="1" customWidth="1"/>
    <col min="2" max="2" width="42" style="1" customWidth="1"/>
    <col min="3" max="3" width="16" style="1" customWidth="1"/>
    <col min="4" max="4" width="18" style="1" customWidth="1"/>
    <col min="5" max="7" width="9" style="1" customWidth="1"/>
    <col min="8" max="8" width="10" style="1" customWidth="1"/>
    <col min="9" max="9" width="28" style="1" customWidth="1"/>
    <col min="10" max="10" width="32" style="1" customWidth="1"/>
    <col min="11" max="11" width="9" style="1" customWidth="1"/>
    <col min="12" max="12" width="10" style="1" customWidth="1"/>
    <col min="13" max="13" width="16" style="1" customWidth="1"/>
  </cols>
  <sheetData>
    <row r="1" spans="1:13" ht="33.75" customHeight="1">
      <c r="A1" s="56" t="s">
        <v>248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8" customHeight="1">
      <c r="A2" s="37" t="s">
        <v>249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ht="18" customHeight="1">
      <c r="A4" s="73" t="s">
        <v>250</v>
      </c>
      <c r="B4" s="73"/>
      <c r="C4" s="73"/>
      <c r="D4" s="73"/>
      <c r="E4" s="74" t="s">
        <v>251</v>
      </c>
      <c r="F4" s="74"/>
      <c r="G4" s="74"/>
      <c r="H4" s="74"/>
      <c r="I4" s="75" t="s">
        <v>252</v>
      </c>
      <c r="J4" s="75"/>
      <c r="K4" s="75"/>
      <c r="L4" s="75"/>
      <c r="M4" s="75"/>
    </row>
    <row r="5" spans="1:13" ht="43.5" customHeight="1">
      <c r="A5" s="4" t="s">
        <v>253</v>
      </c>
      <c r="B5" s="4" t="s">
        <v>254</v>
      </c>
      <c r="C5" s="4" t="s">
        <v>255</v>
      </c>
      <c r="D5" s="4" t="s">
        <v>256</v>
      </c>
      <c r="E5" s="4" t="s">
        <v>257</v>
      </c>
      <c r="F5" s="4" t="s">
        <v>258</v>
      </c>
      <c r="G5" s="4" t="s">
        <v>259</v>
      </c>
      <c r="H5" s="4" t="s">
        <v>260</v>
      </c>
      <c r="I5" s="4" t="s">
        <v>261</v>
      </c>
      <c r="J5" s="4" t="s">
        <v>262</v>
      </c>
      <c r="K5" s="4" t="s">
        <v>263</v>
      </c>
      <c r="L5" s="4" t="s">
        <v>264</v>
      </c>
      <c r="M5" s="4" t="s">
        <v>265</v>
      </c>
    </row>
    <row r="6" spans="1:13" ht="49.5" customHeight="1">
      <c r="A6" s="5" t="s">
        <v>266</v>
      </c>
      <c r="B6" s="27" t="s">
        <v>267</v>
      </c>
      <c r="C6" s="30" t="s">
        <v>268</v>
      </c>
      <c r="D6" s="27" t="s">
        <v>269</v>
      </c>
      <c r="E6" s="30">
        <v>3</v>
      </c>
      <c r="F6" s="30">
        <v>4</v>
      </c>
      <c r="G6" s="14">
        <f>E6*F6</f>
        <v>12</v>
      </c>
      <c r="H6" s="14" t="s">
        <v>270</v>
      </c>
      <c r="I6" s="27" t="s">
        <v>271</v>
      </c>
      <c r="J6" s="27" t="s">
        <v>272</v>
      </c>
      <c r="K6" s="14">
        <v>12</v>
      </c>
      <c r="L6" s="14" t="s">
        <v>270</v>
      </c>
      <c r="M6" s="23" t="s">
        <v>273</v>
      </c>
    </row>
    <row r="7" spans="1:13" ht="49.5" customHeight="1">
      <c r="A7" s="7" t="s">
        <v>274</v>
      </c>
      <c r="B7" s="26" t="s">
        <v>275</v>
      </c>
      <c r="C7" s="31" t="s">
        <v>276</v>
      </c>
      <c r="D7" s="26" t="s">
        <v>277</v>
      </c>
      <c r="E7" s="31">
        <v>2</v>
      </c>
      <c r="F7" s="31">
        <v>5</v>
      </c>
      <c r="G7" s="14">
        <f>E7*F7</f>
        <v>10</v>
      </c>
      <c r="H7" s="14" t="s">
        <v>270</v>
      </c>
      <c r="I7" s="26" t="s">
        <v>278</v>
      </c>
      <c r="J7" s="26" t="s">
        <v>279</v>
      </c>
      <c r="K7" s="14">
        <v>10</v>
      </c>
      <c r="L7" s="14" t="s">
        <v>270</v>
      </c>
      <c r="M7" s="23" t="s">
        <v>273</v>
      </c>
    </row>
    <row r="8" spans="1:13" ht="49.5" customHeight="1">
      <c r="A8" s="5" t="s">
        <v>280</v>
      </c>
      <c r="B8" s="27" t="s">
        <v>281</v>
      </c>
      <c r="C8" s="30" t="s">
        <v>282</v>
      </c>
      <c r="D8" s="27" t="s">
        <v>283</v>
      </c>
      <c r="E8" s="30">
        <v>3</v>
      </c>
      <c r="F8" s="30">
        <v>5</v>
      </c>
      <c r="G8" s="17">
        <f>E8*F8</f>
        <v>15</v>
      </c>
      <c r="H8" s="17" t="s">
        <v>284</v>
      </c>
      <c r="I8" s="27" t="s">
        <v>285</v>
      </c>
      <c r="J8" s="27" t="s">
        <v>286</v>
      </c>
      <c r="K8" s="17">
        <v>15</v>
      </c>
      <c r="L8" s="17" t="s">
        <v>284</v>
      </c>
      <c r="M8" s="23" t="s">
        <v>273</v>
      </c>
    </row>
    <row r="9" spans="1:13" ht="49.5" customHeight="1">
      <c r="A9" s="7" t="s">
        <v>287</v>
      </c>
      <c r="B9" s="26" t="s">
        <v>288</v>
      </c>
      <c r="C9" s="31" t="s">
        <v>289</v>
      </c>
      <c r="D9" s="26" t="s">
        <v>290</v>
      </c>
      <c r="E9" s="31">
        <v>2</v>
      </c>
      <c r="F9" s="31">
        <v>4</v>
      </c>
      <c r="G9" s="14">
        <f>E9*F9</f>
        <v>8</v>
      </c>
      <c r="H9" s="14" t="s">
        <v>270</v>
      </c>
      <c r="I9" s="26" t="s">
        <v>291</v>
      </c>
      <c r="J9" s="26" t="s">
        <v>292</v>
      </c>
      <c r="K9" s="14">
        <v>8</v>
      </c>
      <c r="L9" s="14" t="s">
        <v>270</v>
      </c>
      <c r="M9" s="23" t="s">
        <v>273</v>
      </c>
    </row>
    <row r="10" spans="1:13" ht="49.5" customHeight="1">
      <c r="A10" s="5" t="s">
        <v>293</v>
      </c>
      <c r="B10" s="27" t="s">
        <v>294</v>
      </c>
      <c r="C10" s="30" t="s">
        <v>295</v>
      </c>
      <c r="D10" s="27" t="s">
        <v>296</v>
      </c>
      <c r="E10" s="30">
        <v>4</v>
      </c>
      <c r="F10" s="30">
        <v>3</v>
      </c>
      <c r="G10" s="14">
        <f>E10*F10</f>
        <v>12</v>
      </c>
      <c r="H10" s="14" t="s">
        <v>270</v>
      </c>
      <c r="I10" s="27" t="s">
        <v>297</v>
      </c>
      <c r="J10" s="27" t="s">
        <v>298</v>
      </c>
      <c r="K10" s="14">
        <v>12</v>
      </c>
      <c r="L10" s="14" t="s">
        <v>270</v>
      </c>
      <c r="M10" s="23" t="s">
        <v>273</v>
      </c>
    </row>
    <row r="11" spans="1:13" ht="49.5" customHeight="1">
      <c r="A11" s="7" t="s">
        <v>299</v>
      </c>
      <c r="B11" s="26" t="s">
        <v>300</v>
      </c>
      <c r="C11" s="31" t="s">
        <v>301</v>
      </c>
      <c r="D11" s="26" t="s">
        <v>302</v>
      </c>
      <c r="E11" s="31">
        <v>2</v>
      </c>
      <c r="F11" s="31">
        <v>4</v>
      </c>
      <c r="G11" s="14">
        <f>E11*F11</f>
        <v>8</v>
      </c>
      <c r="H11" s="14" t="s">
        <v>270</v>
      </c>
      <c r="I11" s="26" t="s">
        <v>303</v>
      </c>
      <c r="J11" s="26" t="s">
        <v>304</v>
      </c>
      <c r="K11" s="14">
        <v>8</v>
      </c>
      <c r="L11" s="14" t="s">
        <v>270</v>
      </c>
      <c r="M11" s="23" t="s">
        <v>273</v>
      </c>
    </row>
    <row r="12" spans="1:13" ht="49.5" customHeight="1">
      <c r="A12" s="5" t="s">
        <v>305</v>
      </c>
      <c r="B12" s="27" t="s">
        <v>306</v>
      </c>
      <c r="C12" s="30" t="s">
        <v>307</v>
      </c>
      <c r="D12" s="27" t="s">
        <v>308</v>
      </c>
      <c r="E12" s="30">
        <v>3</v>
      </c>
      <c r="F12" s="30">
        <v>5</v>
      </c>
      <c r="G12" s="17">
        <f>E12*F12</f>
        <v>15</v>
      </c>
      <c r="H12" s="17" t="s">
        <v>284</v>
      </c>
      <c r="I12" s="27" t="s">
        <v>309</v>
      </c>
      <c r="J12" s="27" t="s">
        <v>310</v>
      </c>
      <c r="K12" s="17">
        <v>15</v>
      </c>
      <c r="L12" s="17" t="s">
        <v>284</v>
      </c>
      <c r="M12" s="23" t="s">
        <v>273</v>
      </c>
    </row>
    <row r="13" spans="1:13" ht="49.5" customHeight="1">
      <c r="A13" s="7" t="s">
        <v>311</v>
      </c>
      <c r="B13" s="26" t="s">
        <v>312</v>
      </c>
      <c r="C13" s="31" t="s">
        <v>313</v>
      </c>
      <c r="D13" s="26" t="s">
        <v>314</v>
      </c>
      <c r="E13" s="31">
        <v>4</v>
      </c>
      <c r="F13" s="31">
        <v>3</v>
      </c>
      <c r="G13" s="14">
        <f>E13*F13</f>
        <v>12</v>
      </c>
      <c r="H13" s="14" t="s">
        <v>270</v>
      </c>
      <c r="I13" s="26" t="s">
        <v>315</v>
      </c>
      <c r="J13" s="26" t="s">
        <v>316</v>
      </c>
      <c r="K13" s="14">
        <v>12</v>
      </c>
      <c r="L13" s="14" t="s">
        <v>270</v>
      </c>
      <c r="M13" s="23" t="s">
        <v>273</v>
      </c>
    </row>
    <row r="14" spans="1:13" ht="49.5" customHeight="1">
      <c r="A14" s="5" t="s">
        <v>317</v>
      </c>
      <c r="B14" s="27" t="s">
        <v>318</v>
      </c>
      <c r="C14" s="30" t="s">
        <v>319</v>
      </c>
      <c r="D14" s="27" t="s">
        <v>320</v>
      </c>
      <c r="E14" s="30">
        <v>2</v>
      </c>
      <c r="F14" s="30">
        <v>4</v>
      </c>
      <c r="G14" s="14">
        <f>E14*F14</f>
        <v>8</v>
      </c>
      <c r="H14" s="14" t="s">
        <v>270</v>
      </c>
      <c r="I14" s="27" t="s">
        <v>321</v>
      </c>
      <c r="J14" s="27" t="s">
        <v>322</v>
      </c>
      <c r="K14" s="14">
        <v>8</v>
      </c>
      <c r="L14" s="14" t="s">
        <v>270</v>
      </c>
      <c r="M14" s="35" t="s">
        <v>323</v>
      </c>
    </row>
    <row r="15" spans="1:13" ht="49.5" customHeight="1">
      <c r="A15" s="7" t="s">
        <v>324</v>
      </c>
      <c r="B15" s="26" t="s">
        <v>325</v>
      </c>
      <c r="C15" s="31" t="s">
        <v>326</v>
      </c>
      <c r="D15" s="26" t="s">
        <v>327</v>
      </c>
      <c r="E15" s="31">
        <v>2</v>
      </c>
      <c r="F15" s="31">
        <v>5</v>
      </c>
      <c r="G15" s="14">
        <f>E15*F15</f>
        <v>10</v>
      </c>
      <c r="H15" s="14" t="s">
        <v>270</v>
      </c>
      <c r="I15" s="26" t="s">
        <v>328</v>
      </c>
      <c r="J15" s="26" t="s">
        <v>329</v>
      </c>
      <c r="K15" s="14">
        <v>10</v>
      </c>
      <c r="L15" s="14" t="s">
        <v>270</v>
      </c>
      <c r="M15" s="23" t="s">
        <v>273</v>
      </c>
    </row>
    <row r="17" spans="1:13" ht="19.5" customHeight="1">
      <c r="A17" s="72" t="s">
        <v>330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</row>
    <row r="18" spans="1:13" ht="21.75" customHeight="1">
      <c r="A18" s="24" t="s">
        <v>331</v>
      </c>
      <c r="B18" s="24" t="s">
        <v>332</v>
      </c>
      <c r="C18" s="24" t="s">
        <v>333</v>
      </c>
      <c r="D18" s="24" t="s">
        <v>334</v>
      </c>
      <c r="E18" s="24" t="s">
        <v>335</v>
      </c>
      <c r="F18" s="24" t="s">
        <v>336</v>
      </c>
    </row>
    <row r="19" spans="1:13" ht="27.75" customHeight="1">
      <c r="A19" s="25">
        <f>COUNTA(A6:A15)</f>
        <v>10</v>
      </c>
      <c r="B19" s="25">
        <f>COUNTIF(H6:H15,"Critical")</f>
        <v>0</v>
      </c>
      <c r="C19" s="25">
        <f>COUNTIF(H6:H15,"High")</f>
        <v>2</v>
      </c>
      <c r="D19" s="25">
        <f>COUNTIF(H6:H15,"Medium")</f>
        <v>8</v>
      </c>
      <c r="E19" s="25">
        <f>AVERAGE(G6:G15)</f>
        <v>11</v>
      </c>
      <c r="F19" s="25">
        <f>AVERAGE(K6:K15)</f>
        <v>11</v>
      </c>
    </row>
  </sheetData>
  <mergeCells count="7">
    <mergeCell ref="A17:M17"/>
    <mergeCell ref="A1:M1"/>
    <mergeCell ref="A2:M2"/>
    <mergeCell ref="A3:M3"/>
    <mergeCell ref="A4:D4"/>
    <mergeCell ref="E4:H4"/>
    <mergeCell ref="I4:M4"/>
  </mergeCells>
  <conditionalFormatting sqref="E6:F15">
    <cfRule type="colorScale" priority="2">
      <colorScale>
        <cfvo type="num" val="1"/>
        <cfvo type="num" val="3"/>
        <cfvo type="num" val="5"/>
        <color rgb="FF70AD47"/>
        <color rgb="FFFFD966"/>
        <color rgb="FFC0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showGridLines="0" zoomScaleNormal="100" workbookViewId="0">
      <selection activeCell="J10" sqref="J10"/>
    </sheetView>
  </sheetViews>
  <sheetFormatPr defaultColWidth="8.7109375" defaultRowHeight="15"/>
  <cols>
    <col min="1" max="1" width="6" style="1" customWidth="1"/>
    <col min="2" max="2" width="34" style="1" customWidth="1"/>
    <col min="3" max="3" width="20" style="1" customWidth="1"/>
    <col min="4" max="5" width="7" style="1" customWidth="1"/>
    <col min="6" max="6" width="6" style="1" customWidth="1"/>
    <col min="7" max="7" width="28" style="1" customWidth="1"/>
    <col min="8" max="8" width="38" style="1" customWidth="1"/>
    <col min="9" max="10" width="9" style="1" customWidth="1"/>
  </cols>
  <sheetData>
    <row r="1" spans="1:14" ht="33.75" customHeight="1">
      <c r="A1" s="70" t="s">
        <v>337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8" customHeight="1">
      <c r="A2" s="37" t="s">
        <v>338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19.5" customHeight="1">
      <c r="A4" s="40" t="s">
        <v>339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ht="42" customHeight="1">
      <c r="A5" s="4" t="s">
        <v>340</v>
      </c>
      <c r="B5" s="4" t="s">
        <v>341</v>
      </c>
      <c r="C5" s="4" t="s">
        <v>342</v>
      </c>
      <c r="D5" s="4" t="s">
        <v>343</v>
      </c>
      <c r="E5" s="4" t="s">
        <v>344</v>
      </c>
      <c r="F5" s="4" t="s">
        <v>345</v>
      </c>
      <c r="G5" s="4" t="s">
        <v>346</v>
      </c>
      <c r="H5" s="4" t="s">
        <v>347</v>
      </c>
      <c r="I5" s="4" t="s">
        <v>348</v>
      </c>
      <c r="J5" s="4" t="s">
        <v>349</v>
      </c>
    </row>
    <row r="6" spans="1:14" ht="30" customHeight="1">
      <c r="A6" s="30" t="s">
        <v>350</v>
      </c>
      <c r="B6" s="27" t="s">
        <v>351</v>
      </c>
      <c r="C6" s="27" t="s">
        <v>352</v>
      </c>
      <c r="D6" s="30">
        <v>1</v>
      </c>
      <c r="E6" s="30">
        <v>5</v>
      </c>
      <c r="F6" s="30">
        <f>E6-D6</f>
        <v>4</v>
      </c>
      <c r="G6" s="27" t="s">
        <v>353</v>
      </c>
      <c r="H6" s="27" t="s">
        <v>354</v>
      </c>
      <c r="I6" s="30" t="s">
        <v>270</v>
      </c>
      <c r="J6" s="10" t="s">
        <v>355</v>
      </c>
    </row>
    <row r="7" spans="1:14" ht="30" customHeight="1">
      <c r="A7" s="31" t="s">
        <v>356</v>
      </c>
      <c r="B7" s="26" t="s">
        <v>357</v>
      </c>
      <c r="C7" s="26" t="s">
        <v>358</v>
      </c>
      <c r="D7" s="31">
        <v>1</v>
      </c>
      <c r="E7" s="31">
        <v>5</v>
      </c>
      <c r="F7" s="31">
        <f>E7-D7</f>
        <v>4</v>
      </c>
      <c r="G7" s="26" t="s">
        <v>359</v>
      </c>
      <c r="H7" s="26" t="s">
        <v>360</v>
      </c>
      <c r="I7" s="31" t="s">
        <v>284</v>
      </c>
      <c r="J7" s="10" t="s">
        <v>355</v>
      </c>
    </row>
    <row r="8" spans="1:14" ht="30" customHeight="1">
      <c r="A8" s="30" t="s">
        <v>361</v>
      </c>
      <c r="B8" s="27" t="s">
        <v>362</v>
      </c>
      <c r="C8" s="27" t="s">
        <v>363</v>
      </c>
      <c r="D8" s="30">
        <v>1</v>
      </c>
      <c r="E8" s="30">
        <v>4</v>
      </c>
      <c r="F8" s="30">
        <f>E8-D8</f>
        <v>3</v>
      </c>
      <c r="G8" s="27" t="s">
        <v>364</v>
      </c>
      <c r="H8" s="27" t="s">
        <v>365</v>
      </c>
      <c r="I8" s="30" t="s">
        <v>284</v>
      </c>
      <c r="J8" s="10" t="s">
        <v>355</v>
      </c>
    </row>
    <row r="9" spans="1:14" ht="30" customHeight="1">
      <c r="A9" s="31" t="s">
        <v>366</v>
      </c>
      <c r="B9" s="26" t="s">
        <v>367</v>
      </c>
      <c r="C9" s="26" t="s">
        <v>368</v>
      </c>
      <c r="D9" s="31">
        <v>1</v>
      </c>
      <c r="E9" s="31">
        <v>4</v>
      </c>
      <c r="F9" s="31">
        <f>E9-D9</f>
        <v>3</v>
      </c>
      <c r="G9" s="26" t="s">
        <v>369</v>
      </c>
      <c r="H9" s="26" t="s">
        <v>370</v>
      </c>
      <c r="I9" s="31" t="s">
        <v>270</v>
      </c>
      <c r="J9" s="11" t="s">
        <v>284</v>
      </c>
    </row>
    <row r="10" spans="1:14" ht="30" customHeight="1">
      <c r="A10" s="30" t="s">
        <v>371</v>
      </c>
      <c r="B10" s="27" t="s">
        <v>372</v>
      </c>
      <c r="C10" s="27" t="s">
        <v>373</v>
      </c>
      <c r="D10" s="30">
        <v>2</v>
      </c>
      <c r="E10" s="30">
        <v>4</v>
      </c>
      <c r="F10" s="30">
        <f>E10-D10</f>
        <v>2</v>
      </c>
      <c r="G10" s="27" t="s">
        <v>374</v>
      </c>
      <c r="H10" s="27" t="s">
        <v>375</v>
      </c>
      <c r="I10" s="30" t="s">
        <v>270</v>
      </c>
      <c r="J10" s="11" t="s">
        <v>284</v>
      </c>
    </row>
    <row r="11" spans="1:14" ht="30" customHeight="1">
      <c r="A11" s="31" t="s">
        <v>376</v>
      </c>
      <c r="B11" s="26" t="s">
        <v>377</v>
      </c>
      <c r="C11" s="26" t="s">
        <v>378</v>
      </c>
      <c r="D11" s="31">
        <v>1</v>
      </c>
      <c r="E11" s="31">
        <v>5</v>
      </c>
      <c r="F11" s="31">
        <f>E11-D11</f>
        <v>4</v>
      </c>
      <c r="G11" s="26" t="s">
        <v>379</v>
      </c>
      <c r="H11" s="26" t="s">
        <v>380</v>
      </c>
      <c r="I11" s="31" t="s">
        <v>270</v>
      </c>
      <c r="J11" s="11" t="s">
        <v>284</v>
      </c>
    </row>
    <row r="12" spans="1:14" ht="30" customHeight="1">
      <c r="A12" s="30" t="s">
        <v>381</v>
      </c>
      <c r="B12" s="27" t="s">
        <v>382</v>
      </c>
      <c r="C12" s="27" t="s">
        <v>383</v>
      </c>
      <c r="D12" s="30">
        <v>2</v>
      </c>
      <c r="E12" s="30">
        <v>4</v>
      </c>
      <c r="F12" s="30">
        <f>E12-D12</f>
        <v>2</v>
      </c>
      <c r="G12" s="27" t="s">
        <v>384</v>
      </c>
      <c r="H12" s="27" t="s">
        <v>385</v>
      </c>
      <c r="I12" s="30" t="s">
        <v>386</v>
      </c>
      <c r="J12" s="11" t="s">
        <v>284</v>
      </c>
    </row>
    <row r="13" spans="1:14" ht="30" customHeight="1">
      <c r="A13" s="31" t="s">
        <v>387</v>
      </c>
      <c r="B13" s="26" t="s">
        <v>388</v>
      </c>
      <c r="C13" s="26" t="s">
        <v>389</v>
      </c>
      <c r="D13" s="31">
        <v>1</v>
      </c>
      <c r="E13" s="31">
        <v>4</v>
      </c>
      <c r="F13" s="31">
        <f>E13-D13</f>
        <v>3</v>
      </c>
      <c r="G13" s="26" t="s">
        <v>390</v>
      </c>
      <c r="H13" s="26" t="s">
        <v>391</v>
      </c>
      <c r="I13" s="31" t="s">
        <v>392</v>
      </c>
      <c r="J13" s="14" t="s">
        <v>270</v>
      </c>
    </row>
    <row r="14" spans="1:14" ht="30" customHeight="1">
      <c r="A14" s="30" t="s">
        <v>393</v>
      </c>
      <c r="B14" s="27" t="s">
        <v>394</v>
      </c>
      <c r="C14" s="27" t="s">
        <v>395</v>
      </c>
      <c r="D14" s="30">
        <v>1</v>
      </c>
      <c r="E14" s="30">
        <v>5</v>
      </c>
      <c r="F14" s="30">
        <f>E14-D14</f>
        <v>4</v>
      </c>
      <c r="G14" s="27" t="s">
        <v>396</v>
      </c>
      <c r="H14" s="27" t="s">
        <v>397</v>
      </c>
      <c r="I14" s="30" t="s">
        <v>392</v>
      </c>
      <c r="J14" s="11" t="s">
        <v>284</v>
      </c>
    </row>
    <row r="15" spans="1:14" ht="30" customHeight="1">
      <c r="A15" s="31" t="s">
        <v>398</v>
      </c>
      <c r="B15" s="26" t="s">
        <v>399</v>
      </c>
      <c r="C15" s="26" t="s">
        <v>400</v>
      </c>
      <c r="D15" s="31">
        <v>1</v>
      </c>
      <c r="E15" s="31">
        <v>3</v>
      </c>
      <c r="F15" s="31">
        <f>E15-D15</f>
        <v>2</v>
      </c>
      <c r="G15" s="26" t="s">
        <v>401</v>
      </c>
      <c r="H15" s="26" t="s">
        <v>402</v>
      </c>
      <c r="I15" s="31" t="s">
        <v>392</v>
      </c>
      <c r="J15" s="14" t="s">
        <v>270</v>
      </c>
    </row>
    <row r="17" spans="1:14" ht="19.5" customHeight="1">
      <c r="A17" s="48" t="s">
        <v>403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spans="1:14" ht="19.5" customHeight="1">
      <c r="A18" s="2" t="s">
        <v>404</v>
      </c>
      <c r="B18" s="77">
        <f>COUNTA(A6:A15)</f>
        <v>10</v>
      </c>
      <c r="C18" s="77"/>
      <c r="D18" s="77"/>
      <c r="K18" s="1"/>
      <c r="L18" s="1"/>
      <c r="M18" s="1"/>
      <c r="N18" s="1"/>
    </row>
    <row r="19" spans="1:14" ht="19.5" customHeight="1">
      <c r="A19" s="3" t="s">
        <v>405</v>
      </c>
      <c r="B19" s="76">
        <f>COUNTIF(J6:J15,"Critical")</f>
        <v>3</v>
      </c>
      <c r="C19" s="76"/>
      <c r="D19" s="76"/>
      <c r="K19" s="1"/>
      <c r="L19" s="1"/>
      <c r="M19" s="1"/>
      <c r="N19" s="1"/>
    </row>
    <row r="20" spans="1:14" ht="19.5" customHeight="1">
      <c r="A20" s="2" t="s">
        <v>406</v>
      </c>
      <c r="B20" s="77">
        <f>COUNTIF(J6:J15,"High")</f>
        <v>5</v>
      </c>
      <c r="C20" s="77"/>
      <c r="D20" s="77"/>
      <c r="K20" s="1"/>
      <c r="L20" s="1"/>
      <c r="M20" s="1"/>
      <c r="N20" s="1"/>
    </row>
    <row r="21" spans="1:14" ht="19.5" customHeight="1">
      <c r="A21" s="3" t="s">
        <v>407</v>
      </c>
      <c r="B21" s="76">
        <f>AVERAGE(D6:D15)</f>
        <v>1.2</v>
      </c>
      <c r="C21" s="76"/>
      <c r="D21" s="76"/>
      <c r="K21" s="1"/>
      <c r="L21" s="1"/>
      <c r="M21" s="1"/>
      <c r="N21" s="1"/>
    </row>
    <row r="22" spans="1:14" ht="19.5" customHeight="1">
      <c r="A22" s="2" t="s">
        <v>408</v>
      </c>
      <c r="B22" s="77">
        <f>AVERAGE(E6:E15)</f>
        <v>4.3</v>
      </c>
      <c r="C22" s="77"/>
      <c r="D22" s="77"/>
      <c r="K22" s="1"/>
      <c r="L22" s="1"/>
      <c r="M22" s="1"/>
      <c r="N22" s="1"/>
    </row>
    <row r="23" spans="1:14" ht="19.5" customHeight="1">
      <c r="A23" s="3" t="s">
        <v>409</v>
      </c>
      <c r="B23" s="76">
        <f>AVERAGE(F6:F15)</f>
        <v>3.1</v>
      </c>
      <c r="C23" s="76"/>
      <c r="D23" s="76"/>
      <c r="K23" s="1"/>
      <c r="L23" s="1"/>
      <c r="M23" s="1"/>
      <c r="N23" s="1"/>
    </row>
  </sheetData>
  <mergeCells count="11">
    <mergeCell ref="B23:D23"/>
    <mergeCell ref="B18:D18"/>
    <mergeCell ref="B19:D19"/>
    <mergeCell ref="B20:D20"/>
    <mergeCell ref="B21:D21"/>
    <mergeCell ref="B22:D22"/>
    <mergeCell ref="A1:N1"/>
    <mergeCell ref="A2:N2"/>
    <mergeCell ref="A3:N3"/>
    <mergeCell ref="A4:N4"/>
    <mergeCell ref="A17:N17"/>
  </mergeCells>
  <conditionalFormatting sqref="D6:E15">
    <cfRule type="colorScale" priority="2">
      <colorScale>
        <cfvo type="num" val="1"/>
        <cfvo type="num" val="3"/>
        <cfvo type="num" val="5"/>
        <color rgb="FFC00000"/>
        <color rgb="FFFFD966"/>
        <color rgb="FF70AD47"/>
      </colorScale>
    </cfRule>
  </conditionalFormatting>
  <conditionalFormatting sqref="F6:F15">
    <cfRule type="colorScale" priority="3">
      <colorScale>
        <cfvo type="num" val="0"/>
        <cfvo type="num" val="2"/>
        <cfvo type="num" val="4"/>
        <color rgb="FF70AD47"/>
        <color rgb="FFFFD966"/>
        <color rgb="FFC0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2"/>
  <sheetViews>
    <sheetView showGridLines="0" topLeftCell="A27" zoomScaleNormal="100" workbookViewId="0">
      <selection activeCell="I6" sqref="I6:N6"/>
    </sheetView>
  </sheetViews>
  <sheetFormatPr defaultColWidth="8.7109375" defaultRowHeight="15"/>
  <cols>
    <col min="1" max="2" width="5" customWidth="1"/>
    <col min="3" max="3" width="14" customWidth="1"/>
    <col min="4" max="4" width="5" customWidth="1"/>
    <col min="5" max="5" width="9" customWidth="1"/>
    <col min="6" max="7" width="8" customWidth="1"/>
    <col min="8" max="12" width="10" customWidth="1"/>
    <col min="13" max="13" width="8" customWidth="1"/>
    <col min="14" max="14" width="10" customWidth="1"/>
  </cols>
  <sheetData>
    <row r="1" spans="1:14" ht="33.75" customHeight="1">
      <c r="A1" s="56" t="s">
        <v>410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8" customHeight="1">
      <c r="A2" s="37" t="s">
        <v>411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19.5" customHeight="1">
      <c r="A4" s="42" t="s">
        <v>412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14" ht="33.75" customHeight="1">
      <c r="A5" s="78" t="s">
        <v>413</v>
      </c>
      <c r="B5" s="78"/>
      <c r="C5" s="78"/>
      <c r="D5" s="78" t="s">
        <v>414</v>
      </c>
      <c r="E5" s="78"/>
      <c r="F5" s="78"/>
      <c r="G5" s="78"/>
      <c r="H5" s="78"/>
      <c r="I5" s="78" t="s">
        <v>415</v>
      </c>
      <c r="J5" s="78"/>
      <c r="K5" s="78"/>
      <c r="L5" s="78"/>
      <c r="M5" s="78"/>
      <c r="N5" s="78"/>
    </row>
    <row r="6" spans="1:14" ht="27.75" customHeight="1">
      <c r="A6" s="79" t="s">
        <v>416</v>
      </c>
      <c r="B6" s="79"/>
      <c r="C6" s="79"/>
      <c r="D6" s="59" t="s">
        <v>417</v>
      </c>
      <c r="E6" s="59"/>
      <c r="F6" s="59"/>
      <c r="G6" s="59"/>
      <c r="H6" s="59"/>
      <c r="I6" s="80" t="s">
        <v>418</v>
      </c>
      <c r="J6" s="80"/>
      <c r="K6" s="80"/>
      <c r="L6" s="80"/>
      <c r="M6" s="80"/>
      <c r="N6" s="80"/>
    </row>
    <row r="7" spans="1:14" ht="27.75" customHeight="1">
      <c r="A7" s="81" t="s">
        <v>419</v>
      </c>
      <c r="B7" s="81"/>
      <c r="C7" s="81"/>
      <c r="D7" s="60" t="s">
        <v>420</v>
      </c>
      <c r="E7" s="60"/>
      <c r="F7" s="60"/>
      <c r="G7" s="60"/>
      <c r="H7" s="60"/>
      <c r="I7" s="80" t="s">
        <v>421</v>
      </c>
      <c r="J7" s="80"/>
      <c r="K7" s="80"/>
      <c r="L7" s="80"/>
      <c r="M7" s="80"/>
      <c r="N7" s="80"/>
    </row>
    <row r="8" spans="1:14" ht="27.75" customHeight="1">
      <c r="A8" s="79" t="s">
        <v>422</v>
      </c>
      <c r="B8" s="79"/>
      <c r="C8" s="79"/>
      <c r="D8" s="59" t="s">
        <v>423</v>
      </c>
      <c r="E8" s="59"/>
      <c r="F8" s="59"/>
      <c r="G8" s="59"/>
      <c r="H8" s="59"/>
      <c r="I8" s="80" t="s">
        <v>424</v>
      </c>
      <c r="J8" s="80"/>
      <c r="K8" s="80"/>
      <c r="L8" s="80"/>
      <c r="M8" s="80"/>
      <c r="N8" s="80"/>
    </row>
    <row r="9" spans="1:14" ht="27.75" customHeight="1">
      <c r="A9" s="81" t="s">
        <v>425</v>
      </c>
      <c r="B9" s="81"/>
      <c r="C9" s="81"/>
      <c r="D9" s="60" t="s">
        <v>426</v>
      </c>
      <c r="E9" s="60"/>
      <c r="F9" s="60"/>
      <c r="G9" s="60"/>
      <c r="H9" s="60"/>
      <c r="I9" s="80" t="s">
        <v>427</v>
      </c>
      <c r="J9" s="80"/>
      <c r="K9" s="80"/>
      <c r="L9" s="80"/>
      <c r="M9" s="80"/>
      <c r="N9" s="80"/>
    </row>
    <row r="10" spans="1:14" ht="27.75" customHeight="1">
      <c r="A10" s="79" t="s">
        <v>428</v>
      </c>
      <c r="B10" s="79"/>
      <c r="C10" s="79"/>
      <c r="D10" s="59" t="s">
        <v>429</v>
      </c>
      <c r="E10" s="59"/>
      <c r="F10" s="59"/>
      <c r="G10" s="59"/>
      <c r="H10" s="59"/>
      <c r="I10" s="80" t="s">
        <v>430</v>
      </c>
      <c r="J10" s="80"/>
      <c r="K10" s="80"/>
      <c r="L10" s="80"/>
      <c r="M10" s="80"/>
      <c r="N10" s="80"/>
    </row>
    <row r="11" spans="1:14" ht="27.75" customHeight="1">
      <c r="A11" s="81" t="s">
        <v>431</v>
      </c>
      <c r="B11" s="81"/>
      <c r="C11" s="81"/>
      <c r="D11" s="60" t="s">
        <v>432</v>
      </c>
      <c r="E11" s="60"/>
      <c r="F11" s="60"/>
      <c r="G11" s="60"/>
      <c r="H11" s="60"/>
      <c r="I11" s="80" t="s">
        <v>433</v>
      </c>
      <c r="J11" s="80"/>
      <c r="K11" s="80"/>
      <c r="L11" s="80"/>
      <c r="M11" s="80"/>
      <c r="N11" s="80"/>
    </row>
    <row r="12" spans="1:14" ht="27.75" customHeight="1">
      <c r="A12" s="79" t="s">
        <v>434</v>
      </c>
      <c r="B12" s="79"/>
      <c r="C12" s="79"/>
      <c r="D12" s="59" t="s">
        <v>435</v>
      </c>
      <c r="E12" s="59"/>
      <c r="F12" s="59"/>
      <c r="G12" s="59"/>
      <c r="H12" s="59"/>
      <c r="I12" s="80" t="s">
        <v>436</v>
      </c>
      <c r="J12" s="80"/>
      <c r="K12" s="80"/>
      <c r="L12" s="80"/>
      <c r="M12" s="80"/>
      <c r="N12" s="80"/>
    </row>
    <row r="14" spans="1:14" ht="19.5" customHeight="1">
      <c r="A14" s="40" t="s">
        <v>437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4" ht="21.75" customHeight="1">
      <c r="A15" s="82" t="s">
        <v>438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</row>
    <row r="16" spans="1:14" ht="24" customHeight="1">
      <c r="A16" s="83" t="s">
        <v>439</v>
      </c>
      <c r="B16" s="83"/>
      <c r="C16" s="83"/>
      <c r="D16" s="83" t="s">
        <v>440</v>
      </c>
      <c r="E16" s="83"/>
      <c r="F16" s="83"/>
      <c r="G16" s="83" t="s">
        <v>441</v>
      </c>
      <c r="H16" s="83"/>
      <c r="I16" s="83"/>
      <c r="J16" s="83"/>
      <c r="K16" s="83"/>
      <c r="L16" s="83"/>
      <c r="M16" s="83"/>
      <c r="N16" s="83"/>
    </row>
    <row r="17" spans="1:14" ht="21.75" customHeight="1">
      <c r="A17" s="84" t="s">
        <v>442</v>
      </c>
      <c r="B17" s="84"/>
      <c r="C17" s="84"/>
      <c r="D17" s="85" t="s">
        <v>443</v>
      </c>
      <c r="E17" s="85"/>
      <c r="F17" s="85"/>
      <c r="G17" s="60" t="s">
        <v>444</v>
      </c>
      <c r="H17" s="60"/>
      <c r="I17" s="60"/>
      <c r="J17" s="60"/>
      <c r="K17" s="60"/>
      <c r="L17" s="60"/>
      <c r="M17" s="60"/>
      <c r="N17" s="60"/>
    </row>
    <row r="18" spans="1:14" ht="21.75" customHeight="1">
      <c r="A18" s="86" t="s">
        <v>445</v>
      </c>
      <c r="B18" s="86"/>
      <c r="C18" s="86"/>
      <c r="D18" s="87" t="s">
        <v>446</v>
      </c>
      <c r="E18" s="87"/>
      <c r="F18" s="87"/>
      <c r="G18" s="59" t="s">
        <v>447</v>
      </c>
      <c r="H18" s="59"/>
      <c r="I18" s="59"/>
      <c r="J18" s="59"/>
      <c r="K18" s="59"/>
      <c r="L18" s="59"/>
      <c r="M18" s="59"/>
      <c r="N18" s="59"/>
    </row>
    <row r="19" spans="1:14" ht="21.75" customHeight="1">
      <c r="A19" s="84" t="s">
        <v>448</v>
      </c>
      <c r="B19" s="84"/>
      <c r="C19" s="84"/>
      <c r="D19" s="85" t="s">
        <v>449</v>
      </c>
      <c r="E19" s="85"/>
      <c r="F19" s="85"/>
      <c r="G19" s="60" t="s">
        <v>450</v>
      </c>
      <c r="H19" s="60"/>
      <c r="I19" s="60"/>
      <c r="J19" s="60"/>
      <c r="K19" s="60"/>
      <c r="L19" s="60"/>
      <c r="M19" s="60"/>
      <c r="N19" s="60"/>
    </row>
    <row r="20" spans="1:14" ht="21.75" customHeight="1">
      <c r="A20" s="86" t="s">
        <v>451</v>
      </c>
      <c r="B20" s="86"/>
      <c r="C20" s="86"/>
      <c r="D20" s="87" t="s">
        <v>452</v>
      </c>
      <c r="E20" s="87"/>
      <c r="F20" s="87"/>
      <c r="G20" s="59" t="s">
        <v>453</v>
      </c>
      <c r="H20" s="59"/>
      <c r="I20" s="59"/>
      <c r="J20" s="59"/>
      <c r="K20" s="59"/>
      <c r="L20" s="59"/>
      <c r="M20" s="59"/>
      <c r="N20" s="59"/>
    </row>
    <row r="22" spans="1:14" ht="21.75" customHeight="1">
      <c r="A22" s="88" t="s">
        <v>454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</row>
    <row r="23" spans="1:14" ht="24" customHeight="1">
      <c r="A23" s="83" t="s">
        <v>439</v>
      </c>
      <c r="B23" s="83"/>
      <c r="C23" s="83"/>
      <c r="D23" s="83" t="s">
        <v>440</v>
      </c>
      <c r="E23" s="83"/>
      <c r="F23" s="83"/>
      <c r="G23" s="83" t="s">
        <v>441</v>
      </c>
      <c r="H23" s="83"/>
      <c r="I23" s="83"/>
      <c r="J23" s="83"/>
      <c r="K23" s="83"/>
      <c r="L23" s="83"/>
      <c r="M23" s="83"/>
      <c r="N23" s="83"/>
    </row>
    <row r="24" spans="1:14" ht="21.75" customHeight="1">
      <c r="A24" s="86" t="s">
        <v>455</v>
      </c>
      <c r="B24" s="86"/>
      <c r="C24" s="86"/>
      <c r="D24" s="87" t="s">
        <v>456</v>
      </c>
      <c r="E24" s="87"/>
      <c r="F24" s="87"/>
      <c r="G24" s="59" t="s">
        <v>457</v>
      </c>
      <c r="H24" s="59"/>
      <c r="I24" s="59"/>
      <c r="J24" s="59"/>
      <c r="K24" s="59"/>
      <c r="L24" s="59"/>
      <c r="M24" s="59"/>
      <c r="N24" s="59"/>
    </row>
    <row r="25" spans="1:14" ht="21.75" customHeight="1">
      <c r="A25" s="84" t="s">
        <v>458</v>
      </c>
      <c r="B25" s="84"/>
      <c r="C25" s="84"/>
      <c r="D25" s="85" t="s">
        <v>230</v>
      </c>
      <c r="E25" s="85"/>
      <c r="F25" s="85"/>
      <c r="G25" s="60" t="s">
        <v>459</v>
      </c>
      <c r="H25" s="60"/>
      <c r="I25" s="60"/>
      <c r="J25" s="60"/>
      <c r="K25" s="60"/>
      <c r="L25" s="60"/>
      <c r="M25" s="60"/>
      <c r="N25" s="60"/>
    </row>
    <row r="26" spans="1:14" ht="21.75" customHeight="1">
      <c r="A26" s="86" t="s">
        <v>460</v>
      </c>
      <c r="B26" s="86"/>
      <c r="C26" s="86"/>
      <c r="D26" s="87" t="s">
        <v>461</v>
      </c>
      <c r="E26" s="87"/>
      <c r="F26" s="87"/>
      <c r="G26" s="59" t="s">
        <v>462</v>
      </c>
      <c r="H26" s="59"/>
      <c r="I26" s="59"/>
      <c r="J26" s="59"/>
      <c r="K26" s="59"/>
      <c r="L26" s="59"/>
      <c r="M26" s="59"/>
      <c r="N26" s="59"/>
    </row>
    <row r="27" spans="1:14" ht="21.75" customHeight="1">
      <c r="A27" s="84" t="s">
        <v>463</v>
      </c>
      <c r="B27" s="84"/>
      <c r="C27" s="84"/>
      <c r="D27" s="85" t="s">
        <v>464</v>
      </c>
      <c r="E27" s="85"/>
      <c r="F27" s="85"/>
      <c r="G27" s="60" t="s">
        <v>465</v>
      </c>
      <c r="H27" s="60"/>
      <c r="I27" s="60"/>
      <c r="J27" s="60"/>
      <c r="K27" s="60"/>
      <c r="L27" s="60"/>
      <c r="M27" s="60"/>
      <c r="N27" s="60"/>
    </row>
    <row r="29" spans="1:14" ht="21.75" customHeight="1">
      <c r="A29" s="89" t="s">
        <v>466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</row>
    <row r="30" spans="1:14" ht="24" customHeight="1">
      <c r="A30" s="83" t="s">
        <v>439</v>
      </c>
      <c r="B30" s="83"/>
      <c r="C30" s="83"/>
      <c r="D30" s="83" t="s">
        <v>440</v>
      </c>
      <c r="E30" s="83"/>
      <c r="F30" s="83"/>
      <c r="G30" s="83" t="s">
        <v>441</v>
      </c>
      <c r="H30" s="83"/>
      <c r="I30" s="83"/>
      <c r="J30" s="83"/>
      <c r="K30" s="83"/>
      <c r="L30" s="83"/>
      <c r="M30" s="83"/>
      <c r="N30" s="83"/>
    </row>
    <row r="31" spans="1:14" ht="21.75" customHeight="1">
      <c r="A31" s="84" t="s">
        <v>467</v>
      </c>
      <c r="B31" s="84"/>
      <c r="C31" s="84"/>
      <c r="D31" s="85" t="s">
        <v>468</v>
      </c>
      <c r="E31" s="85"/>
      <c r="F31" s="85"/>
      <c r="G31" s="60" t="s">
        <v>469</v>
      </c>
      <c r="H31" s="60"/>
      <c r="I31" s="60"/>
      <c r="J31" s="60"/>
      <c r="K31" s="60"/>
      <c r="L31" s="60"/>
      <c r="M31" s="60"/>
      <c r="N31" s="60"/>
    </row>
    <row r="32" spans="1:14" ht="21.75" customHeight="1">
      <c r="A32" s="86" t="s">
        <v>470</v>
      </c>
      <c r="B32" s="86"/>
      <c r="C32" s="86"/>
      <c r="D32" s="87" t="s">
        <v>471</v>
      </c>
      <c r="E32" s="87"/>
      <c r="F32" s="87"/>
      <c r="G32" s="59" t="s">
        <v>472</v>
      </c>
      <c r="H32" s="59"/>
      <c r="I32" s="59"/>
      <c r="J32" s="59"/>
      <c r="K32" s="59"/>
      <c r="L32" s="59"/>
      <c r="M32" s="59"/>
      <c r="N32" s="59"/>
    </row>
    <row r="33" spans="1:14" ht="21.75" customHeight="1">
      <c r="A33" s="84" t="s">
        <v>473</v>
      </c>
      <c r="B33" s="84"/>
      <c r="C33" s="84"/>
      <c r="D33" s="85" t="s">
        <v>474</v>
      </c>
      <c r="E33" s="85"/>
      <c r="F33" s="85"/>
      <c r="G33" s="60" t="s">
        <v>475</v>
      </c>
      <c r="H33" s="60"/>
      <c r="I33" s="60"/>
      <c r="J33" s="60"/>
      <c r="K33" s="60"/>
      <c r="L33" s="60"/>
      <c r="M33" s="60"/>
      <c r="N33" s="60"/>
    </row>
    <row r="34" spans="1:14" ht="21.75" customHeight="1">
      <c r="A34" s="86" t="s">
        <v>476</v>
      </c>
      <c r="B34" s="86"/>
      <c r="C34" s="86"/>
      <c r="D34" s="87" t="s">
        <v>477</v>
      </c>
      <c r="E34" s="87"/>
      <c r="F34" s="87"/>
      <c r="G34" s="59" t="s">
        <v>478</v>
      </c>
      <c r="H34" s="59"/>
      <c r="I34" s="59"/>
      <c r="J34" s="59"/>
      <c r="K34" s="59"/>
      <c r="L34" s="59"/>
      <c r="M34" s="59"/>
      <c r="N34" s="59"/>
    </row>
    <row r="36" spans="1:14" ht="19.5" customHeight="1">
      <c r="A36" s="40" t="s">
        <v>479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ht="31.5" customHeight="1">
      <c r="A37" s="78" t="s">
        <v>480</v>
      </c>
      <c r="B37" s="78"/>
      <c r="C37" s="78"/>
      <c r="D37" s="78" t="s">
        <v>481</v>
      </c>
      <c r="E37" s="78"/>
      <c r="F37" s="78" t="s">
        <v>482</v>
      </c>
      <c r="G37" s="78"/>
      <c r="H37" s="78"/>
      <c r="I37" s="78" t="s">
        <v>483</v>
      </c>
      <c r="J37" s="78"/>
      <c r="K37" s="78"/>
      <c r="L37" s="78"/>
      <c r="M37" s="78"/>
      <c r="N37" s="78"/>
    </row>
    <row r="38" spans="1:14" ht="27.75" customHeight="1">
      <c r="A38" s="79" t="s">
        <v>484</v>
      </c>
      <c r="B38" s="79"/>
      <c r="C38" s="79"/>
      <c r="D38" s="90" t="s">
        <v>485</v>
      </c>
      <c r="E38" s="90"/>
      <c r="F38" s="57" t="s">
        <v>486</v>
      </c>
      <c r="G38" s="57"/>
      <c r="H38" s="57"/>
      <c r="I38" s="59" t="s">
        <v>487</v>
      </c>
      <c r="J38" s="59"/>
      <c r="K38" s="59"/>
      <c r="L38" s="59"/>
      <c r="M38" s="59"/>
      <c r="N38" s="59"/>
    </row>
    <row r="39" spans="1:14" ht="27.75" customHeight="1">
      <c r="A39" s="81" t="s">
        <v>488</v>
      </c>
      <c r="B39" s="81"/>
      <c r="C39" s="81"/>
      <c r="D39" s="91" t="s">
        <v>489</v>
      </c>
      <c r="E39" s="91"/>
      <c r="F39" s="58" t="s">
        <v>490</v>
      </c>
      <c r="G39" s="58"/>
      <c r="H39" s="58"/>
      <c r="I39" s="60" t="s">
        <v>491</v>
      </c>
      <c r="J39" s="60"/>
      <c r="K39" s="60"/>
      <c r="L39" s="60"/>
      <c r="M39" s="60"/>
      <c r="N39" s="60"/>
    </row>
    <row r="40" spans="1:14" ht="27.75" customHeight="1">
      <c r="A40" s="79" t="s">
        <v>492</v>
      </c>
      <c r="B40" s="79"/>
      <c r="C40" s="79"/>
      <c r="D40" s="90" t="s">
        <v>489</v>
      </c>
      <c r="E40" s="90"/>
      <c r="F40" s="57" t="s">
        <v>493</v>
      </c>
      <c r="G40" s="57"/>
      <c r="H40" s="57"/>
      <c r="I40" s="59" t="s">
        <v>494</v>
      </c>
      <c r="J40" s="59"/>
      <c r="K40" s="59"/>
      <c r="L40" s="59"/>
      <c r="M40" s="59"/>
      <c r="N40" s="59"/>
    </row>
    <row r="41" spans="1:14" ht="27.75" customHeight="1">
      <c r="A41" s="81" t="s">
        <v>495</v>
      </c>
      <c r="B41" s="81"/>
      <c r="C41" s="81"/>
      <c r="D41" s="91" t="s">
        <v>496</v>
      </c>
      <c r="E41" s="91"/>
      <c r="F41" s="58" t="s">
        <v>497</v>
      </c>
      <c r="G41" s="58"/>
      <c r="H41" s="58"/>
      <c r="I41" s="60" t="s">
        <v>498</v>
      </c>
      <c r="J41" s="60"/>
      <c r="K41" s="60"/>
      <c r="L41" s="60"/>
      <c r="M41" s="60"/>
      <c r="N41" s="60"/>
    </row>
    <row r="42" spans="1:14" ht="27.75" customHeight="1">
      <c r="A42" s="79" t="s">
        <v>499</v>
      </c>
      <c r="B42" s="79"/>
      <c r="C42" s="79"/>
      <c r="D42" s="90" t="s">
        <v>485</v>
      </c>
      <c r="E42" s="90"/>
      <c r="F42" s="57" t="s">
        <v>500</v>
      </c>
      <c r="G42" s="57"/>
      <c r="H42" s="57"/>
      <c r="I42" s="59" t="s">
        <v>501</v>
      </c>
      <c r="J42" s="59"/>
      <c r="K42" s="59"/>
      <c r="L42" s="59"/>
      <c r="M42" s="59"/>
      <c r="N42" s="59"/>
    </row>
  </sheetData>
  <mergeCells count="102">
    <mergeCell ref="A42:C42"/>
    <mergeCell ref="D42:E42"/>
    <mergeCell ref="F42:H42"/>
    <mergeCell ref="I42:N42"/>
    <mergeCell ref="A39:C39"/>
    <mergeCell ref="D39:E39"/>
    <mergeCell ref="F39:H39"/>
    <mergeCell ref="I39:N39"/>
    <mergeCell ref="A40:C40"/>
    <mergeCell ref="D40:E40"/>
    <mergeCell ref="F40:H40"/>
    <mergeCell ref="I40:N40"/>
    <mergeCell ref="A41:C41"/>
    <mergeCell ref="D41:E41"/>
    <mergeCell ref="F41:H41"/>
    <mergeCell ref="I41:N41"/>
    <mergeCell ref="A36:N36"/>
    <mergeCell ref="A37:C37"/>
    <mergeCell ref="D37:E37"/>
    <mergeCell ref="F37:H37"/>
    <mergeCell ref="I37:N37"/>
    <mergeCell ref="A38:C38"/>
    <mergeCell ref="D38:E38"/>
    <mergeCell ref="F38:H38"/>
    <mergeCell ref="I38:N38"/>
    <mergeCell ref="A32:C32"/>
    <mergeCell ref="D32:F32"/>
    <mergeCell ref="G32:N32"/>
    <mergeCell ref="A33:C33"/>
    <mergeCell ref="D33:F33"/>
    <mergeCell ref="G33:N33"/>
    <mergeCell ref="A34:C34"/>
    <mergeCell ref="D34:F34"/>
    <mergeCell ref="G34:N34"/>
    <mergeCell ref="A27:C27"/>
    <mergeCell ref="D27:F27"/>
    <mergeCell ref="G27:N27"/>
    <mergeCell ref="A29:N29"/>
    <mergeCell ref="A30:C30"/>
    <mergeCell ref="D30:F30"/>
    <mergeCell ref="G30:N30"/>
    <mergeCell ref="A31:C31"/>
    <mergeCell ref="D31:F31"/>
    <mergeCell ref="G31:N31"/>
    <mergeCell ref="A24:C24"/>
    <mergeCell ref="D24:F24"/>
    <mergeCell ref="G24:N24"/>
    <mergeCell ref="A25:C25"/>
    <mergeCell ref="D25:F25"/>
    <mergeCell ref="G25:N25"/>
    <mergeCell ref="A26:C26"/>
    <mergeCell ref="D26:F26"/>
    <mergeCell ref="G26:N26"/>
    <mergeCell ref="A19:C19"/>
    <mergeCell ref="D19:F19"/>
    <mergeCell ref="G19:N19"/>
    <mergeCell ref="A20:C20"/>
    <mergeCell ref="D20:F20"/>
    <mergeCell ref="G20:N20"/>
    <mergeCell ref="A22:N22"/>
    <mergeCell ref="A23:C23"/>
    <mergeCell ref="D23:F23"/>
    <mergeCell ref="G23:N23"/>
    <mergeCell ref="A14:N14"/>
    <mergeCell ref="A15:N15"/>
    <mergeCell ref="A16:C16"/>
    <mergeCell ref="D16:F16"/>
    <mergeCell ref="G16:N16"/>
    <mergeCell ref="A17:C17"/>
    <mergeCell ref="D17:F17"/>
    <mergeCell ref="G17:N17"/>
    <mergeCell ref="A18:C18"/>
    <mergeCell ref="D18:F18"/>
    <mergeCell ref="G18:N18"/>
    <mergeCell ref="A10:C10"/>
    <mergeCell ref="D10:H10"/>
    <mergeCell ref="I10:N10"/>
    <mergeCell ref="A11:C11"/>
    <mergeCell ref="D11:H11"/>
    <mergeCell ref="I11:N11"/>
    <mergeCell ref="A12:C12"/>
    <mergeCell ref="D12:H12"/>
    <mergeCell ref="I12:N12"/>
    <mergeCell ref="A7:C7"/>
    <mergeCell ref="D7:H7"/>
    <mergeCell ref="I7:N7"/>
    <mergeCell ref="A8:C8"/>
    <mergeCell ref="D8:H8"/>
    <mergeCell ref="I8:N8"/>
    <mergeCell ref="A9:C9"/>
    <mergeCell ref="D9:H9"/>
    <mergeCell ref="I9:N9"/>
    <mergeCell ref="A1:N1"/>
    <mergeCell ref="A2:N2"/>
    <mergeCell ref="A3:N3"/>
    <mergeCell ref="A4:N4"/>
    <mergeCell ref="A5:C5"/>
    <mergeCell ref="D5:H5"/>
    <mergeCell ref="I5:N5"/>
    <mergeCell ref="A6:C6"/>
    <mergeCell ref="D6:H6"/>
    <mergeCell ref="I6:N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showGridLines="0" zoomScaleNormal="100" workbookViewId="0">
      <selection activeCell="G6" sqref="G6"/>
    </sheetView>
  </sheetViews>
  <sheetFormatPr defaultColWidth="8.7109375" defaultRowHeight="15"/>
  <cols>
    <col min="1" max="1" width="6" style="1" customWidth="1"/>
    <col min="2" max="2" width="28" style="1" customWidth="1"/>
    <col min="3" max="3" width="11" style="1" customWidth="1"/>
    <col min="4" max="4" width="9" style="1" customWidth="1"/>
    <col min="5" max="5" width="22" style="1" customWidth="1"/>
    <col min="6" max="6" width="42" style="1" customWidth="1"/>
    <col min="7" max="7" width="22" style="1" customWidth="1"/>
    <col min="10" max="10" width="13.140625" bestFit="1" customWidth="1"/>
  </cols>
  <sheetData>
    <row r="1" spans="1:14" ht="33.75" customHeight="1">
      <c r="A1" s="70" t="s">
        <v>502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8" customHeight="1">
      <c r="A2" s="37" t="s">
        <v>503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19.5" customHeight="1">
      <c r="A4" s="42" t="s">
        <v>504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14" ht="37.5" customHeight="1">
      <c r="A5" s="4" t="s">
        <v>505</v>
      </c>
      <c r="B5" s="4" t="s">
        <v>506</v>
      </c>
      <c r="C5" s="4" t="s">
        <v>507</v>
      </c>
      <c r="D5" s="4" t="s">
        <v>508</v>
      </c>
      <c r="E5" s="4" t="s">
        <v>509</v>
      </c>
      <c r="F5" s="4" t="s">
        <v>510</v>
      </c>
      <c r="G5" s="4" t="s">
        <v>511</v>
      </c>
      <c r="H5" s="4" t="s">
        <v>512</v>
      </c>
      <c r="I5" s="4" t="s">
        <v>513</v>
      </c>
      <c r="J5" s="4" t="s">
        <v>514</v>
      </c>
    </row>
    <row r="6" spans="1:14" ht="21.75" customHeight="1">
      <c r="A6" s="28" t="s">
        <v>515</v>
      </c>
      <c r="B6" s="28" t="s">
        <v>516</v>
      </c>
      <c r="C6" s="30" t="s">
        <v>517</v>
      </c>
      <c r="D6" s="30" t="s">
        <v>518</v>
      </c>
      <c r="E6" s="30" t="s">
        <v>519</v>
      </c>
      <c r="F6" s="30" t="s">
        <v>520</v>
      </c>
      <c r="G6" s="10" t="s">
        <v>122</v>
      </c>
      <c r="H6" s="30" t="s">
        <v>521</v>
      </c>
      <c r="I6" s="11" t="s">
        <v>522</v>
      </c>
      <c r="J6" s="92" t="s">
        <v>523</v>
      </c>
      <c r="K6" s="93"/>
      <c r="L6" s="93"/>
      <c r="M6" s="93"/>
      <c r="N6" s="93"/>
    </row>
    <row r="7" spans="1:14" ht="21.75" customHeight="1">
      <c r="A7" s="29" t="s">
        <v>515</v>
      </c>
      <c r="B7" s="29" t="s">
        <v>524</v>
      </c>
      <c r="C7" s="31" t="s">
        <v>518</v>
      </c>
      <c r="D7" s="31" t="s">
        <v>518</v>
      </c>
      <c r="E7" s="31" t="s">
        <v>525</v>
      </c>
      <c r="F7" s="31" t="s">
        <v>520</v>
      </c>
      <c r="G7" s="29" t="s">
        <v>117</v>
      </c>
      <c r="H7" s="31" t="s">
        <v>526</v>
      </c>
      <c r="I7" s="12" t="s">
        <v>527</v>
      </c>
      <c r="J7" s="94" t="s">
        <v>528</v>
      </c>
      <c r="K7" s="95"/>
    </row>
    <row r="8" spans="1:14" ht="21.75" customHeight="1">
      <c r="A8" s="28" t="s">
        <v>529</v>
      </c>
      <c r="B8" s="28" t="s">
        <v>530</v>
      </c>
      <c r="C8" s="30" t="s">
        <v>531</v>
      </c>
      <c r="D8" s="30" t="s">
        <v>518</v>
      </c>
      <c r="E8" s="30" t="s">
        <v>532</v>
      </c>
      <c r="F8" s="30" t="s">
        <v>520</v>
      </c>
      <c r="G8" s="28" t="s">
        <v>117</v>
      </c>
      <c r="H8" s="30" t="s">
        <v>533</v>
      </c>
      <c r="I8" s="13" t="s">
        <v>527</v>
      </c>
      <c r="J8" s="92" t="s">
        <v>528</v>
      </c>
      <c r="K8" s="93"/>
    </row>
    <row r="9" spans="1:14" ht="21.75" customHeight="1">
      <c r="A9" s="29" t="s">
        <v>529</v>
      </c>
      <c r="B9" s="29" t="s">
        <v>534</v>
      </c>
      <c r="C9" s="31" t="s">
        <v>535</v>
      </c>
      <c r="D9" s="31" t="s">
        <v>518</v>
      </c>
      <c r="E9" s="31" t="s">
        <v>536</v>
      </c>
      <c r="F9" s="31" t="s">
        <v>520</v>
      </c>
      <c r="G9" s="29" t="s">
        <v>117</v>
      </c>
      <c r="H9" s="31" t="s">
        <v>537</v>
      </c>
      <c r="I9" s="12" t="s">
        <v>527</v>
      </c>
      <c r="J9" s="94" t="s">
        <v>538</v>
      </c>
      <c r="K9" s="95"/>
    </row>
    <row r="10" spans="1:14" ht="21.75" customHeight="1">
      <c r="A10" s="28" t="s">
        <v>529</v>
      </c>
      <c r="B10" s="28" t="s">
        <v>539</v>
      </c>
      <c r="C10" s="30" t="s">
        <v>540</v>
      </c>
      <c r="D10" s="30" t="s">
        <v>518</v>
      </c>
      <c r="E10" s="30" t="s">
        <v>541</v>
      </c>
      <c r="F10" s="30" t="s">
        <v>520</v>
      </c>
      <c r="G10" s="10" t="s">
        <v>122</v>
      </c>
      <c r="H10" s="30" t="s">
        <v>542</v>
      </c>
      <c r="I10" s="11" t="s">
        <v>522</v>
      </c>
      <c r="J10" s="28" t="s">
        <v>543</v>
      </c>
    </row>
    <row r="11" spans="1:14" ht="21.75" customHeight="1">
      <c r="A11" s="29" t="s">
        <v>544</v>
      </c>
      <c r="B11" s="29" t="s">
        <v>545</v>
      </c>
      <c r="C11" s="31" t="s">
        <v>546</v>
      </c>
      <c r="D11" s="31" t="s">
        <v>518</v>
      </c>
      <c r="E11" s="31" t="s">
        <v>547</v>
      </c>
      <c r="F11" s="31" t="s">
        <v>520</v>
      </c>
      <c r="G11" s="29" t="s">
        <v>117</v>
      </c>
      <c r="H11" s="31" t="s">
        <v>548</v>
      </c>
      <c r="I11" s="12" t="s">
        <v>527</v>
      </c>
      <c r="J11" s="29" t="s">
        <v>528</v>
      </c>
    </row>
    <row r="12" spans="1:14" ht="21.75" customHeight="1">
      <c r="A12" s="28" t="s">
        <v>544</v>
      </c>
      <c r="B12" s="28" t="s">
        <v>549</v>
      </c>
      <c r="C12" s="30" t="s">
        <v>550</v>
      </c>
      <c r="D12" s="30" t="s">
        <v>518</v>
      </c>
      <c r="E12" s="30" t="s">
        <v>551</v>
      </c>
      <c r="F12" s="30" t="s">
        <v>520</v>
      </c>
      <c r="G12" s="28" t="s">
        <v>117</v>
      </c>
      <c r="H12" s="30" t="s">
        <v>552</v>
      </c>
      <c r="I12" s="14" t="s">
        <v>553</v>
      </c>
      <c r="J12" s="28" t="s">
        <v>554</v>
      </c>
    </row>
    <row r="13" spans="1:14" ht="21.75" customHeight="1">
      <c r="A13" s="29" t="s">
        <v>544</v>
      </c>
      <c r="B13" s="29" t="s">
        <v>555</v>
      </c>
      <c r="C13" s="31" t="s">
        <v>556</v>
      </c>
      <c r="D13" s="31" t="s">
        <v>518</v>
      </c>
      <c r="E13" s="31" t="s">
        <v>557</v>
      </c>
      <c r="F13" s="31" t="s">
        <v>520</v>
      </c>
      <c r="G13" s="10" t="s">
        <v>122</v>
      </c>
      <c r="H13" s="31" t="s">
        <v>558</v>
      </c>
      <c r="I13" s="10" t="s">
        <v>559</v>
      </c>
      <c r="J13" s="29" t="s">
        <v>560</v>
      </c>
    </row>
    <row r="15" spans="1:14" ht="19.5" customHeight="1">
      <c r="A15" s="40" t="s">
        <v>561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ht="33.75" customHeight="1">
      <c r="A16" s="4" t="s">
        <v>562</v>
      </c>
      <c r="B16" s="4" t="s">
        <v>563</v>
      </c>
      <c r="C16" s="4" t="s">
        <v>564</v>
      </c>
      <c r="D16" s="4" t="s">
        <v>565</v>
      </c>
      <c r="E16" s="4" t="s">
        <v>566</v>
      </c>
      <c r="F16" s="4" t="s">
        <v>567</v>
      </c>
      <c r="G16" s="4" t="s">
        <v>568</v>
      </c>
    </row>
    <row r="17" spans="1:7" ht="21.75" customHeight="1">
      <c r="A17" s="30">
        <v>1</v>
      </c>
      <c r="B17" s="28" t="s">
        <v>569</v>
      </c>
      <c r="C17" s="15">
        <v>0.187</v>
      </c>
      <c r="D17" s="28" t="s">
        <v>117</v>
      </c>
      <c r="E17" s="28" t="s">
        <v>527</v>
      </c>
      <c r="F17" s="28" t="s">
        <v>570</v>
      </c>
      <c r="G17" s="28" t="s">
        <v>571</v>
      </c>
    </row>
    <row r="18" spans="1:7" ht="21.75" customHeight="1">
      <c r="A18" s="31">
        <v>2</v>
      </c>
      <c r="B18" s="29" t="s">
        <v>572</v>
      </c>
      <c r="C18" s="16">
        <v>0.16200000000000001</v>
      </c>
      <c r="D18" s="29" t="s">
        <v>117</v>
      </c>
      <c r="E18" s="29" t="s">
        <v>527</v>
      </c>
      <c r="F18" s="29" t="s">
        <v>573</v>
      </c>
      <c r="G18" s="29" t="s">
        <v>571</v>
      </c>
    </row>
    <row r="19" spans="1:7" ht="21.75" customHeight="1">
      <c r="A19" s="30">
        <v>3</v>
      </c>
      <c r="B19" s="28" t="s">
        <v>574</v>
      </c>
      <c r="C19" s="15">
        <v>0.14099999999999999</v>
      </c>
      <c r="D19" s="10" t="s">
        <v>122</v>
      </c>
      <c r="E19" s="28" t="s">
        <v>575</v>
      </c>
      <c r="F19" s="28" t="s">
        <v>576</v>
      </c>
      <c r="G19" s="10" t="s">
        <v>577</v>
      </c>
    </row>
    <row r="20" spans="1:7" ht="21.75" customHeight="1">
      <c r="A20" s="31">
        <v>4</v>
      </c>
      <c r="B20" s="29" t="s">
        <v>578</v>
      </c>
      <c r="C20" s="16">
        <v>0.11799999999999999</v>
      </c>
      <c r="D20" s="17" t="s">
        <v>122</v>
      </c>
      <c r="E20" s="29" t="s">
        <v>579</v>
      </c>
      <c r="F20" s="29" t="s">
        <v>580</v>
      </c>
      <c r="G20" s="29" t="s">
        <v>581</v>
      </c>
    </row>
    <row r="21" spans="1:7" ht="21.75" customHeight="1">
      <c r="A21" s="30">
        <v>5</v>
      </c>
      <c r="B21" s="28" t="s">
        <v>582</v>
      </c>
      <c r="C21" s="15">
        <v>9.4E-2</v>
      </c>
      <c r="D21" s="10" t="s">
        <v>122</v>
      </c>
      <c r="E21" s="28" t="s">
        <v>583</v>
      </c>
      <c r="F21" s="28" t="s">
        <v>584</v>
      </c>
      <c r="G21" s="18" t="s">
        <v>585</v>
      </c>
    </row>
    <row r="22" spans="1:7" ht="21.75" customHeight="1">
      <c r="A22" s="31">
        <v>6</v>
      </c>
      <c r="B22" s="29" t="s">
        <v>586</v>
      </c>
      <c r="C22" s="16">
        <v>8.6999999999999994E-2</v>
      </c>
      <c r="D22" s="17" t="s">
        <v>122</v>
      </c>
      <c r="E22" s="29" t="s">
        <v>587</v>
      </c>
      <c r="F22" s="29" t="s">
        <v>588</v>
      </c>
      <c r="G22" s="18" t="s">
        <v>589</v>
      </c>
    </row>
    <row r="23" spans="1:7" ht="21.75" customHeight="1">
      <c r="A23" s="30">
        <v>7</v>
      </c>
      <c r="B23" s="28" t="s">
        <v>590</v>
      </c>
      <c r="C23" s="15">
        <v>7.5999999999999998E-2</v>
      </c>
      <c r="D23" s="28" t="s">
        <v>117</v>
      </c>
      <c r="E23" s="28" t="s">
        <v>527</v>
      </c>
      <c r="F23" s="28" t="s">
        <v>591</v>
      </c>
      <c r="G23" s="28" t="s">
        <v>592</v>
      </c>
    </row>
    <row r="24" spans="1:7" ht="21.75" customHeight="1">
      <c r="A24" s="31">
        <v>8</v>
      </c>
      <c r="B24" s="29" t="s">
        <v>593</v>
      </c>
      <c r="C24" s="16">
        <v>6.3E-2</v>
      </c>
      <c r="D24" s="17" t="s">
        <v>122</v>
      </c>
      <c r="E24" s="29" t="s">
        <v>594</v>
      </c>
      <c r="F24" s="29" t="s">
        <v>595</v>
      </c>
      <c r="G24" s="18" t="s">
        <v>589</v>
      </c>
    </row>
    <row r="25" spans="1:7" ht="21.75" customHeight="1">
      <c r="A25" s="30">
        <v>9</v>
      </c>
      <c r="B25" s="28" t="s">
        <v>596</v>
      </c>
      <c r="C25" s="15">
        <v>5.8000000000000003E-2</v>
      </c>
      <c r="D25" s="28" t="s">
        <v>117</v>
      </c>
      <c r="E25" s="28" t="s">
        <v>527</v>
      </c>
      <c r="F25" s="28" t="s">
        <v>597</v>
      </c>
      <c r="G25" s="28" t="s">
        <v>571</v>
      </c>
    </row>
    <row r="26" spans="1:7" ht="21.75" customHeight="1">
      <c r="A26" s="31">
        <v>10</v>
      </c>
      <c r="B26" s="29" t="s">
        <v>598</v>
      </c>
      <c r="C26" s="16">
        <v>4.1000000000000002E-2</v>
      </c>
      <c r="D26" s="10" t="s">
        <v>122</v>
      </c>
      <c r="E26" s="29" t="s">
        <v>599</v>
      </c>
      <c r="F26" s="29" t="s">
        <v>600</v>
      </c>
      <c r="G26" s="10" t="s">
        <v>577</v>
      </c>
    </row>
  </sheetData>
  <mergeCells count="9">
    <mergeCell ref="A1:N1"/>
    <mergeCell ref="A2:N2"/>
    <mergeCell ref="A3:N3"/>
    <mergeCell ref="A4:N4"/>
    <mergeCell ref="A15:N15"/>
    <mergeCell ref="J6:N6"/>
    <mergeCell ref="J7:K7"/>
    <mergeCell ref="J8:K8"/>
    <mergeCell ref="J9:K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6"/>
  <sheetViews>
    <sheetView showGridLines="0" zoomScaleNormal="100" workbookViewId="0">
      <selection activeCell="A4" sqref="A4:O4"/>
    </sheetView>
  </sheetViews>
  <sheetFormatPr defaultColWidth="8.7109375" defaultRowHeight="15"/>
  <cols>
    <col min="1" max="8" width="5" customWidth="1"/>
    <col min="9" max="10" width="10" customWidth="1"/>
    <col min="11" max="12" width="9" customWidth="1"/>
    <col min="13" max="15" width="12" customWidth="1"/>
  </cols>
  <sheetData>
    <row r="1" spans="1:15" ht="33.75" customHeight="1">
      <c r="A1" s="56" t="s">
        <v>601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ht="18" customHeight="1">
      <c r="A2" s="37" t="s">
        <v>602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4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27.75" customHeight="1">
      <c r="A4" s="48" t="s">
        <v>603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24" customHeight="1">
      <c r="A5" s="82" t="s">
        <v>604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</row>
    <row r="6" spans="1:15" ht="33.75" customHeight="1">
      <c r="A6" s="78" t="s">
        <v>605</v>
      </c>
      <c r="B6" s="78"/>
      <c r="C6" s="78"/>
      <c r="D6" s="78"/>
      <c r="E6" s="78"/>
      <c r="F6" s="78"/>
      <c r="G6" s="78"/>
      <c r="H6" s="78"/>
      <c r="I6" s="78" t="s">
        <v>606</v>
      </c>
      <c r="J6" s="78"/>
      <c r="K6" s="78" t="s">
        <v>141</v>
      </c>
      <c r="L6" s="78"/>
      <c r="M6" s="78" t="s">
        <v>514</v>
      </c>
      <c r="N6" s="78"/>
      <c r="O6" s="78"/>
    </row>
    <row r="7" spans="1:15" ht="25.5" customHeight="1">
      <c r="A7" s="59" t="s">
        <v>607</v>
      </c>
      <c r="B7" s="59"/>
      <c r="C7" s="59"/>
      <c r="D7" s="59"/>
      <c r="E7" s="59"/>
      <c r="F7" s="59"/>
      <c r="G7" s="59"/>
      <c r="H7" s="59"/>
      <c r="I7" s="96" t="s">
        <v>608</v>
      </c>
      <c r="J7" s="96"/>
      <c r="K7" s="97" t="s">
        <v>146</v>
      </c>
      <c r="L7" s="97"/>
      <c r="M7" s="59" t="s">
        <v>609</v>
      </c>
      <c r="N7" s="59"/>
      <c r="O7" s="59"/>
    </row>
    <row r="8" spans="1:15" ht="25.5" customHeight="1">
      <c r="A8" s="60" t="s">
        <v>610</v>
      </c>
      <c r="B8" s="60"/>
      <c r="C8" s="60"/>
      <c r="D8" s="60"/>
      <c r="E8" s="60"/>
      <c r="F8" s="60"/>
      <c r="G8" s="60"/>
      <c r="H8" s="60"/>
      <c r="I8" s="98" t="s">
        <v>611</v>
      </c>
      <c r="J8" s="98"/>
      <c r="K8" s="97" t="s">
        <v>146</v>
      </c>
      <c r="L8" s="97"/>
      <c r="M8" s="60" t="s">
        <v>612</v>
      </c>
      <c r="N8" s="60"/>
      <c r="O8" s="60"/>
    </row>
    <row r="9" spans="1:15" ht="25.5" customHeight="1">
      <c r="A9" s="59" t="s">
        <v>613</v>
      </c>
      <c r="B9" s="59"/>
      <c r="C9" s="59"/>
      <c r="D9" s="59"/>
      <c r="E9" s="59"/>
      <c r="F9" s="59"/>
      <c r="G9" s="59"/>
      <c r="H9" s="59"/>
      <c r="I9" s="96" t="s">
        <v>614</v>
      </c>
      <c r="J9" s="96"/>
      <c r="K9" s="97" t="s">
        <v>146</v>
      </c>
      <c r="L9" s="97"/>
      <c r="M9" s="59" t="s">
        <v>615</v>
      </c>
      <c r="N9" s="59"/>
      <c r="O9" s="59"/>
    </row>
    <row r="10" spans="1:15" ht="25.5" customHeight="1">
      <c r="A10" s="60" t="s">
        <v>616</v>
      </c>
      <c r="B10" s="60"/>
      <c r="C10" s="60"/>
      <c r="D10" s="60"/>
      <c r="E10" s="60"/>
      <c r="F10" s="60"/>
      <c r="G10" s="60"/>
      <c r="H10" s="60"/>
      <c r="I10" s="98" t="s">
        <v>617</v>
      </c>
      <c r="J10" s="98"/>
      <c r="K10" s="97" t="s">
        <v>146</v>
      </c>
      <c r="L10" s="97"/>
      <c r="M10" s="60" t="s">
        <v>618</v>
      </c>
      <c r="N10" s="60"/>
      <c r="O10" s="60"/>
    </row>
    <row r="11" spans="1:15" ht="25.5" customHeight="1">
      <c r="A11" s="59" t="s">
        <v>619</v>
      </c>
      <c r="B11" s="59"/>
      <c r="C11" s="59"/>
      <c r="D11" s="59"/>
      <c r="E11" s="59"/>
      <c r="F11" s="59"/>
      <c r="G11" s="59"/>
      <c r="H11" s="59"/>
      <c r="I11" s="96" t="s">
        <v>620</v>
      </c>
      <c r="J11" s="96"/>
      <c r="K11" s="97" t="s">
        <v>146</v>
      </c>
      <c r="L11" s="97"/>
      <c r="M11" s="59" t="s">
        <v>621</v>
      </c>
      <c r="N11" s="59"/>
      <c r="O11" s="59"/>
    </row>
    <row r="13" spans="1:15" ht="24" customHeight="1">
      <c r="A13" s="99" t="s">
        <v>622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</row>
    <row r="14" spans="1:15" ht="33.75" customHeight="1">
      <c r="A14" s="78" t="s">
        <v>605</v>
      </c>
      <c r="B14" s="78"/>
      <c r="C14" s="78"/>
      <c r="D14" s="78"/>
      <c r="E14" s="78"/>
      <c r="F14" s="78"/>
      <c r="G14" s="78"/>
      <c r="H14" s="78"/>
      <c r="I14" s="78" t="s">
        <v>606</v>
      </c>
      <c r="J14" s="78"/>
      <c r="K14" s="78" t="s">
        <v>141</v>
      </c>
      <c r="L14" s="78"/>
      <c r="M14" s="78" t="s">
        <v>514</v>
      </c>
      <c r="N14" s="78"/>
      <c r="O14" s="78"/>
    </row>
    <row r="15" spans="1:15" ht="25.5" customHeight="1">
      <c r="A15" s="59" t="s">
        <v>623</v>
      </c>
      <c r="B15" s="59"/>
      <c r="C15" s="59"/>
      <c r="D15" s="59"/>
      <c r="E15" s="59"/>
      <c r="F15" s="59"/>
      <c r="G15" s="59"/>
      <c r="H15" s="59"/>
      <c r="I15" s="96" t="s">
        <v>624</v>
      </c>
      <c r="J15" s="96"/>
      <c r="K15" s="100" t="s">
        <v>171</v>
      </c>
      <c r="L15" s="100"/>
      <c r="M15" s="59" t="s">
        <v>625</v>
      </c>
      <c r="N15" s="59"/>
      <c r="O15" s="59"/>
    </row>
    <row r="16" spans="1:15" ht="25.5" customHeight="1">
      <c r="A16" s="60" t="s">
        <v>626</v>
      </c>
      <c r="B16" s="60"/>
      <c r="C16" s="60"/>
      <c r="D16" s="60"/>
      <c r="E16" s="60"/>
      <c r="F16" s="60"/>
      <c r="G16" s="60"/>
      <c r="H16" s="60"/>
      <c r="I16" s="98" t="s">
        <v>383</v>
      </c>
      <c r="J16" s="98"/>
      <c r="K16" s="97" t="s">
        <v>146</v>
      </c>
      <c r="L16" s="97"/>
      <c r="M16" s="60" t="s">
        <v>627</v>
      </c>
      <c r="N16" s="60"/>
      <c r="O16" s="60"/>
    </row>
    <row r="17" spans="1:15" ht="25.5" customHeight="1">
      <c r="A17" s="59" t="s">
        <v>628</v>
      </c>
      <c r="B17" s="59"/>
      <c r="C17" s="59"/>
      <c r="D17" s="59"/>
      <c r="E17" s="59"/>
      <c r="F17" s="59"/>
      <c r="G17" s="59"/>
      <c r="H17" s="59"/>
      <c r="I17" s="96" t="s">
        <v>629</v>
      </c>
      <c r="J17" s="96"/>
      <c r="K17" s="97" t="s">
        <v>146</v>
      </c>
      <c r="L17" s="97"/>
      <c r="M17" s="59" t="s">
        <v>630</v>
      </c>
      <c r="N17" s="59"/>
      <c r="O17" s="59"/>
    </row>
    <row r="18" spans="1:15" ht="25.5" customHeight="1">
      <c r="A18" s="60" t="s">
        <v>631</v>
      </c>
      <c r="B18" s="60"/>
      <c r="C18" s="60"/>
      <c r="D18" s="60"/>
      <c r="E18" s="60"/>
      <c r="F18" s="60"/>
      <c r="G18" s="60"/>
      <c r="H18" s="60"/>
      <c r="I18" s="98" t="s">
        <v>632</v>
      </c>
      <c r="J18" s="98"/>
      <c r="K18" s="97" t="s">
        <v>633</v>
      </c>
      <c r="L18" s="97"/>
      <c r="M18" s="60" t="s">
        <v>634</v>
      </c>
      <c r="N18" s="60"/>
      <c r="O18" s="60"/>
    </row>
    <row r="19" spans="1:15" ht="25.5" customHeight="1">
      <c r="A19" s="59" t="s">
        <v>635</v>
      </c>
      <c r="B19" s="59"/>
      <c r="C19" s="59"/>
      <c r="D19" s="59"/>
      <c r="E19" s="59"/>
      <c r="F19" s="59"/>
      <c r="G19" s="59"/>
      <c r="H19" s="59"/>
      <c r="I19" s="96" t="s">
        <v>636</v>
      </c>
      <c r="J19" s="96"/>
      <c r="K19" s="100" t="s">
        <v>637</v>
      </c>
      <c r="L19" s="100"/>
      <c r="M19" s="59" t="s">
        <v>638</v>
      </c>
      <c r="N19" s="59"/>
      <c r="O19" s="59"/>
    </row>
    <row r="20" spans="1:15" ht="25.5" customHeight="1">
      <c r="A20" s="60" t="s">
        <v>639</v>
      </c>
      <c r="B20" s="60"/>
      <c r="C20" s="60"/>
      <c r="D20" s="60"/>
      <c r="E20" s="60"/>
      <c r="F20" s="60"/>
      <c r="G20" s="60"/>
      <c r="H20" s="60"/>
      <c r="I20" s="98" t="s">
        <v>640</v>
      </c>
      <c r="J20" s="98"/>
      <c r="K20" s="100" t="s">
        <v>637</v>
      </c>
      <c r="L20" s="100"/>
      <c r="M20" s="60" t="s">
        <v>641</v>
      </c>
      <c r="N20" s="60"/>
      <c r="O20" s="60"/>
    </row>
    <row r="22" spans="1:15" ht="24" customHeight="1">
      <c r="A22" s="88" t="s">
        <v>642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</row>
    <row r="23" spans="1:15" ht="33.75" customHeight="1">
      <c r="A23" s="78" t="s">
        <v>605</v>
      </c>
      <c r="B23" s="78"/>
      <c r="C23" s="78"/>
      <c r="D23" s="78"/>
      <c r="E23" s="78"/>
      <c r="F23" s="78"/>
      <c r="G23" s="78"/>
      <c r="H23" s="78"/>
      <c r="I23" s="78" t="s">
        <v>606</v>
      </c>
      <c r="J23" s="78"/>
      <c r="K23" s="78" t="s">
        <v>141</v>
      </c>
      <c r="L23" s="78"/>
      <c r="M23" s="78" t="s">
        <v>514</v>
      </c>
      <c r="N23" s="78"/>
      <c r="O23" s="78"/>
    </row>
    <row r="24" spans="1:15" ht="25.5" customHeight="1">
      <c r="A24" s="59" t="s">
        <v>643</v>
      </c>
      <c r="B24" s="59"/>
      <c r="C24" s="59"/>
      <c r="D24" s="59"/>
      <c r="E24" s="59"/>
      <c r="F24" s="59"/>
      <c r="G24" s="59"/>
      <c r="H24" s="59"/>
      <c r="I24" s="96" t="s">
        <v>644</v>
      </c>
      <c r="J24" s="96"/>
      <c r="K24" s="100" t="s">
        <v>171</v>
      </c>
      <c r="L24" s="100"/>
      <c r="M24" s="59" t="s">
        <v>645</v>
      </c>
      <c r="N24" s="59"/>
      <c r="O24" s="59"/>
    </row>
    <row r="25" spans="1:15" ht="25.5" customHeight="1">
      <c r="A25" s="60" t="s">
        <v>646</v>
      </c>
      <c r="B25" s="60"/>
      <c r="C25" s="60"/>
      <c r="D25" s="60"/>
      <c r="E25" s="60"/>
      <c r="F25" s="60"/>
      <c r="G25" s="60"/>
      <c r="H25" s="60"/>
      <c r="I25" s="98" t="s">
        <v>373</v>
      </c>
      <c r="J25" s="98"/>
      <c r="K25" s="97" t="s">
        <v>146</v>
      </c>
      <c r="L25" s="97"/>
      <c r="M25" s="60" t="s">
        <v>647</v>
      </c>
      <c r="N25" s="60"/>
      <c r="O25" s="60"/>
    </row>
    <row r="26" spans="1:15" ht="25.5" customHeight="1">
      <c r="A26" s="59" t="s">
        <v>648</v>
      </c>
      <c r="B26" s="59"/>
      <c r="C26" s="59"/>
      <c r="D26" s="59"/>
      <c r="E26" s="59"/>
      <c r="F26" s="59"/>
      <c r="G26" s="59"/>
      <c r="H26" s="59"/>
      <c r="I26" s="96" t="s">
        <v>649</v>
      </c>
      <c r="J26" s="96"/>
      <c r="K26" s="97" t="s">
        <v>146</v>
      </c>
      <c r="L26" s="97"/>
      <c r="M26" s="59" t="s">
        <v>650</v>
      </c>
      <c r="N26" s="59"/>
      <c r="O26" s="59"/>
    </row>
    <row r="27" spans="1:15" ht="25.5" customHeight="1">
      <c r="A27" s="60" t="s">
        <v>651</v>
      </c>
      <c r="B27" s="60"/>
      <c r="C27" s="60"/>
      <c r="D27" s="60"/>
      <c r="E27" s="60"/>
      <c r="F27" s="60"/>
      <c r="G27" s="60"/>
      <c r="H27" s="60"/>
      <c r="I27" s="98" t="s">
        <v>652</v>
      </c>
      <c r="J27" s="98"/>
      <c r="K27" s="97" t="s">
        <v>146</v>
      </c>
      <c r="L27" s="97"/>
      <c r="M27" s="60" t="s">
        <v>653</v>
      </c>
      <c r="N27" s="60"/>
      <c r="O27" s="60"/>
    </row>
    <row r="28" spans="1:15" ht="25.5" customHeight="1">
      <c r="A28" s="59" t="s">
        <v>654</v>
      </c>
      <c r="B28" s="59"/>
      <c r="C28" s="59"/>
      <c r="D28" s="59"/>
      <c r="E28" s="59"/>
      <c r="F28" s="59"/>
      <c r="G28" s="59"/>
      <c r="H28" s="59"/>
      <c r="I28" s="96" t="s">
        <v>655</v>
      </c>
      <c r="J28" s="96"/>
      <c r="K28" s="97" t="s">
        <v>146</v>
      </c>
      <c r="L28" s="97"/>
      <c r="M28" s="59" t="s">
        <v>656</v>
      </c>
      <c r="N28" s="59"/>
      <c r="O28" s="59"/>
    </row>
    <row r="29" spans="1:15" ht="25.5" customHeight="1">
      <c r="A29" s="60" t="s">
        <v>657</v>
      </c>
      <c r="B29" s="60"/>
      <c r="C29" s="60"/>
      <c r="D29" s="60"/>
      <c r="E29" s="60"/>
      <c r="F29" s="60"/>
      <c r="G29" s="60"/>
      <c r="H29" s="60"/>
      <c r="I29" s="98" t="s">
        <v>658</v>
      </c>
      <c r="J29" s="98"/>
      <c r="K29" s="97" t="s">
        <v>146</v>
      </c>
      <c r="L29" s="97"/>
      <c r="M29" s="60" t="s">
        <v>659</v>
      </c>
      <c r="N29" s="60"/>
      <c r="O29" s="60"/>
    </row>
    <row r="31" spans="1:15" ht="24" customHeight="1">
      <c r="A31" s="101" t="s">
        <v>660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</row>
    <row r="32" spans="1:15" ht="33.75" customHeight="1">
      <c r="A32" s="78" t="s">
        <v>605</v>
      </c>
      <c r="B32" s="78"/>
      <c r="C32" s="78"/>
      <c r="D32" s="78"/>
      <c r="E32" s="78"/>
      <c r="F32" s="78"/>
      <c r="G32" s="78"/>
      <c r="H32" s="78"/>
      <c r="I32" s="78" t="s">
        <v>606</v>
      </c>
      <c r="J32" s="78"/>
      <c r="K32" s="78" t="s">
        <v>141</v>
      </c>
      <c r="L32" s="78"/>
      <c r="M32" s="78" t="s">
        <v>514</v>
      </c>
      <c r="N32" s="78"/>
      <c r="O32" s="78"/>
    </row>
    <row r="33" spans="1:15" ht="25.5" customHeight="1">
      <c r="A33" s="59" t="s">
        <v>661</v>
      </c>
      <c r="B33" s="59"/>
      <c r="C33" s="59"/>
      <c r="D33" s="59"/>
      <c r="E33" s="59"/>
      <c r="F33" s="59"/>
      <c r="G33" s="59"/>
      <c r="H33" s="59"/>
      <c r="I33" s="96" t="s">
        <v>608</v>
      </c>
      <c r="J33" s="96"/>
      <c r="K33" s="100" t="s">
        <v>171</v>
      </c>
      <c r="L33" s="100"/>
      <c r="M33" s="59" t="s">
        <v>662</v>
      </c>
      <c r="N33" s="59"/>
      <c r="O33" s="59"/>
    </row>
    <row r="34" spans="1:15" ht="25.5" customHeight="1">
      <c r="A34" s="60" t="s">
        <v>663</v>
      </c>
      <c r="B34" s="60"/>
      <c r="C34" s="60"/>
      <c r="D34" s="60"/>
      <c r="E34" s="60"/>
      <c r="F34" s="60"/>
      <c r="G34" s="60"/>
      <c r="H34" s="60"/>
      <c r="I34" s="98" t="s">
        <v>652</v>
      </c>
      <c r="J34" s="98"/>
      <c r="K34" s="97" t="s">
        <v>146</v>
      </c>
      <c r="L34" s="97"/>
      <c r="M34" s="60" t="s">
        <v>664</v>
      </c>
      <c r="N34" s="60"/>
      <c r="O34" s="60"/>
    </row>
    <row r="35" spans="1:15" ht="25.5" customHeight="1">
      <c r="A35" s="59" t="s">
        <v>665</v>
      </c>
      <c r="B35" s="59"/>
      <c r="C35" s="59"/>
      <c r="D35" s="59"/>
      <c r="E35" s="59"/>
      <c r="F35" s="59"/>
      <c r="G35" s="59"/>
      <c r="H35" s="59"/>
      <c r="I35" s="96" t="s">
        <v>666</v>
      </c>
      <c r="J35" s="96"/>
      <c r="K35" s="97" t="s">
        <v>146</v>
      </c>
      <c r="L35" s="97"/>
      <c r="M35" s="59" t="s">
        <v>667</v>
      </c>
      <c r="N35" s="59"/>
      <c r="O35" s="59"/>
    </row>
    <row r="36" spans="1:15" ht="25.5" customHeight="1">
      <c r="A36" s="60" t="s">
        <v>668</v>
      </c>
      <c r="B36" s="60"/>
      <c r="C36" s="60"/>
      <c r="D36" s="60"/>
      <c r="E36" s="60"/>
      <c r="F36" s="60"/>
      <c r="G36" s="60"/>
      <c r="H36" s="60"/>
      <c r="I36" s="98" t="s">
        <v>669</v>
      </c>
      <c r="J36" s="98"/>
      <c r="K36" s="97" t="s">
        <v>146</v>
      </c>
      <c r="L36" s="97"/>
      <c r="M36" s="60" t="s">
        <v>670</v>
      </c>
      <c r="N36" s="60"/>
      <c r="O36" s="60"/>
    </row>
    <row r="37" spans="1:15" ht="25.5" customHeight="1">
      <c r="A37" s="59" t="s">
        <v>671</v>
      </c>
      <c r="B37" s="59"/>
      <c r="C37" s="59"/>
      <c r="D37" s="59"/>
      <c r="E37" s="59"/>
      <c r="F37" s="59"/>
      <c r="G37" s="59"/>
      <c r="H37" s="59"/>
      <c r="I37" s="96" t="s">
        <v>672</v>
      </c>
      <c r="J37" s="96"/>
      <c r="K37" s="97" t="s">
        <v>146</v>
      </c>
      <c r="L37" s="97"/>
      <c r="M37" s="59" t="s">
        <v>673</v>
      </c>
      <c r="N37" s="59"/>
      <c r="O37" s="59"/>
    </row>
    <row r="38" spans="1:15" ht="25.5" customHeight="1">
      <c r="A38" s="60" t="s">
        <v>674</v>
      </c>
      <c r="B38" s="60"/>
      <c r="C38" s="60"/>
      <c r="D38" s="60"/>
      <c r="E38" s="60"/>
      <c r="F38" s="60"/>
      <c r="G38" s="60"/>
      <c r="H38" s="60"/>
      <c r="I38" s="98" t="s">
        <v>675</v>
      </c>
      <c r="J38" s="98"/>
      <c r="K38" s="97" t="s">
        <v>146</v>
      </c>
      <c r="L38" s="97"/>
      <c r="M38" s="60" t="s">
        <v>676</v>
      </c>
      <c r="N38" s="60"/>
      <c r="O38" s="60"/>
    </row>
    <row r="40" spans="1:15" ht="24" customHeight="1">
      <c r="A40" s="102" t="s">
        <v>677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</row>
    <row r="41" spans="1:15" ht="33.75" customHeight="1">
      <c r="A41" s="78" t="s">
        <v>605</v>
      </c>
      <c r="B41" s="78"/>
      <c r="C41" s="78"/>
      <c r="D41" s="78"/>
      <c r="E41" s="78"/>
      <c r="F41" s="78"/>
      <c r="G41" s="78"/>
      <c r="H41" s="78"/>
      <c r="I41" s="78" t="s">
        <v>606</v>
      </c>
      <c r="J41" s="78"/>
      <c r="K41" s="78" t="s">
        <v>141</v>
      </c>
      <c r="L41" s="78"/>
      <c r="M41" s="78" t="s">
        <v>514</v>
      </c>
      <c r="N41" s="78"/>
      <c r="O41" s="78"/>
    </row>
    <row r="42" spans="1:15" ht="25.5" customHeight="1">
      <c r="A42" s="59" t="s">
        <v>678</v>
      </c>
      <c r="B42" s="59"/>
      <c r="C42" s="59"/>
      <c r="D42" s="59"/>
      <c r="E42" s="59"/>
      <c r="F42" s="59"/>
      <c r="G42" s="59"/>
      <c r="H42" s="59"/>
      <c r="I42" s="96" t="s">
        <v>378</v>
      </c>
      <c r="J42" s="96"/>
      <c r="K42" s="97" t="s">
        <v>146</v>
      </c>
      <c r="L42" s="97"/>
      <c r="M42" s="59" t="s">
        <v>679</v>
      </c>
      <c r="N42" s="59"/>
      <c r="O42" s="59"/>
    </row>
    <row r="43" spans="1:15" ht="25.5" customHeight="1">
      <c r="A43" s="60" t="s">
        <v>680</v>
      </c>
      <c r="B43" s="60"/>
      <c r="C43" s="60"/>
      <c r="D43" s="60"/>
      <c r="E43" s="60"/>
      <c r="F43" s="60"/>
      <c r="G43" s="60"/>
      <c r="H43" s="60"/>
      <c r="I43" s="98" t="s">
        <v>666</v>
      </c>
      <c r="J43" s="98"/>
      <c r="K43" s="97" t="s">
        <v>146</v>
      </c>
      <c r="L43" s="97"/>
      <c r="M43" s="60" t="s">
        <v>681</v>
      </c>
      <c r="N43" s="60"/>
      <c r="O43" s="60"/>
    </row>
    <row r="44" spans="1:15" ht="25.5" customHeight="1">
      <c r="A44" s="59" t="s">
        <v>682</v>
      </c>
      <c r="B44" s="59"/>
      <c r="C44" s="59"/>
      <c r="D44" s="59"/>
      <c r="E44" s="59"/>
      <c r="F44" s="59"/>
      <c r="G44" s="59"/>
      <c r="H44" s="59"/>
      <c r="I44" s="96" t="s">
        <v>683</v>
      </c>
      <c r="J44" s="96"/>
      <c r="K44" s="97" t="s">
        <v>146</v>
      </c>
      <c r="L44" s="97"/>
      <c r="M44" s="59" t="s">
        <v>684</v>
      </c>
      <c r="N44" s="59"/>
      <c r="O44" s="59"/>
    </row>
    <row r="45" spans="1:15" ht="25.5" customHeight="1">
      <c r="A45" s="60" t="s">
        <v>685</v>
      </c>
      <c r="B45" s="60"/>
      <c r="C45" s="60"/>
      <c r="D45" s="60"/>
      <c r="E45" s="60"/>
      <c r="F45" s="60"/>
      <c r="G45" s="60"/>
      <c r="H45" s="60"/>
      <c r="I45" s="98" t="s">
        <v>675</v>
      </c>
      <c r="J45" s="98"/>
      <c r="K45" s="97" t="s">
        <v>146</v>
      </c>
      <c r="L45" s="97"/>
      <c r="M45" s="60" t="s">
        <v>686</v>
      </c>
      <c r="N45" s="60"/>
      <c r="O45" s="60"/>
    </row>
    <row r="46" spans="1:15" ht="25.5" customHeight="1">
      <c r="A46" s="59" t="s">
        <v>687</v>
      </c>
      <c r="B46" s="59"/>
      <c r="C46" s="59"/>
      <c r="D46" s="59"/>
      <c r="E46" s="59"/>
      <c r="F46" s="59"/>
      <c r="G46" s="59"/>
      <c r="H46" s="59"/>
      <c r="I46" s="96" t="s">
        <v>688</v>
      </c>
      <c r="J46" s="96"/>
      <c r="K46" s="97" t="s">
        <v>146</v>
      </c>
      <c r="L46" s="97"/>
      <c r="M46" s="59" t="s">
        <v>689</v>
      </c>
      <c r="N46" s="59"/>
      <c r="O46" s="59"/>
    </row>
    <row r="47" spans="1:15" ht="25.5" customHeight="1">
      <c r="A47" s="60" t="s">
        <v>690</v>
      </c>
      <c r="B47" s="60"/>
      <c r="C47" s="60"/>
      <c r="D47" s="60"/>
      <c r="E47" s="60"/>
      <c r="F47" s="60"/>
      <c r="G47" s="60"/>
      <c r="H47" s="60"/>
      <c r="I47" s="98" t="s">
        <v>691</v>
      </c>
      <c r="J47" s="98"/>
      <c r="K47" s="97" t="s">
        <v>146</v>
      </c>
      <c r="L47" s="97"/>
      <c r="M47" s="60" t="s">
        <v>692</v>
      </c>
      <c r="N47" s="60"/>
      <c r="O47" s="60"/>
    </row>
    <row r="49" spans="1:15" ht="24" customHeight="1">
      <c r="A49" s="99" t="s">
        <v>693</v>
      </c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</row>
    <row r="50" spans="1:15" ht="33.75" customHeight="1">
      <c r="A50" s="78" t="s">
        <v>605</v>
      </c>
      <c r="B50" s="78"/>
      <c r="C50" s="78"/>
      <c r="D50" s="78"/>
      <c r="E50" s="78"/>
      <c r="F50" s="78"/>
      <c r="G50" s="78"/>
      <c r="H50" s="78"/>
      <c r="I50" s="78" t="s">
        <v>606</v>
      </c>
      <c r="J50" s="78"/>
      <c r="K50" s="78" t="s">
        <v>141</v>
      </c>
      <c r="L50" s="78"/>
      <c r="M50" s="78" t="s">
        <v>514</v>
      </c>
      <c r="N50" s="78"/>
      <c r="O50" s="78"/>
    </row>
    <row r="51" spans="1:15" ht="25.5" customHeight="1">
      <c r="A51" s="59" t="s">
        <v>694</v>
      </c>
      <c r="B51" s="59"/>
      <c r="C51" s="59"/>
      <c r="D51" s="59"/>
      <c r="E51" s="59"/>
      <c r="F51" s="59"/>
      <c r="G51" s="59"/>
      <c r="H51" s="59"/>
      <c r="I51" s="96" t="s">
        <v>652</v>
      </c>
      <c r="J51" s="96"/>
      <c r="K51" s="97" t="s">
        <v>146</v>
      </c>
      <c r="L51" s="97"/>
      <c r="M51" s="59" t="s">
        <v>695</v>
      </c>
      <c r="N51" s="59"/>
      <c r="O51" s="59"/>
    </row>
    <row r="52" spans="1:15" ht="25.5" customHeight="1">
      <c r="A52" s="60" t="s">
        <v>696</v>
      </c>
      <c r="B52" s="60"/>
      <c r="C52" s="60"/>
      <c r="D52" s="60"/>
      <c r="E52" s="60"/>
      <c r="F52" s="60"/>
      <c r="G52" s="60"/>
      <c r="H52" s="60"/>
      <c r="I52" s="98" t="s">
        <v>697</v>
      </c>
      <c r="J52" s="98"/>
      <c r="K52" s="97" t="s">
        <v>146</v>
      </c>
      <c r="L52" s="97"/>
      <c r="M52" s="60" t="s">
        <v>698</v>
      </c>
      <c r="N52" s="60"/>
      <c r="O52" s="60"/>
    </row>
    <row r="53" spans="1:15" ht="25.5" customHeight="1">
      <c r="A53" s="59" t="s">
        <v>699</v>
      </c>
      <c r="B53" s="59"/>
      <c r="C53" s="59"/>
      <c r="D53" s="59"/>
      <c r="E53" s="59"/>
      <c r="F53" s="59"/>
      <c r="G53" s="59"/>
      <c r="H53" s="59"/>
      <c r="I53" s="96" t="s">
        <v>700</v>
      </c>
      <c r="J53" s="96"/>
      <c r="K53" s="97" t="s">
        <v>146</v>
      </c>
      <c r="L53" s="97"/>
      <c r="M53" s="59" t="s">
        <v>701</v>
      </c>
      <c r="N53" s="59"/>
      <c r="O53" s="59"/>
    </row>
    <row r="54" spans="1:15" ht="25.5" customHeight="1">
      <c r="A54" s="60" t="s">
        <v>702</v>
      </c>
      <c r="B54" s="60"/>
      <c r="C54" s="60"/>
      <c r="D54" s="60"/>
      <c r="E54" s="60"/>
      <c r="F54" s="60"/>
      <c r="G54" s="60"/>
      <c r="H54" s="60"/>
      <c r="I54" s="98" t="s">
        <v>688</v>
      </c>
      <c r="J54" s="98"/>
      <c r="K54" s="97" t="s">
        <v>146</v>
      </c>
      <c r="L54" s="97"/>
      <c r="M54" s="60" t="s">
        <v>703</v>
      </c>
      <c r="N54" s="60"/>
      <c r="O54" s="60"/>
    </row>
    <row r="55" spans="1:15" ht="25.5" customHeight="1">
      <c r="A55" s="59" t="s">
        <v>704</v>
      </c>
      <c r="B55" s="59"/>
      <c r="C55" s="59"/>
      <c r="D55" s="59"/>
      <c r="E55" s="59"/>
      <c r="F55" s="59"/>
      <c r="G55" s="59"/>
      <c r="H55" s="59"/>
      <c r="I55" s="96" t="s">
        <v>705</v>
      </c>
      <c r="J55" s="96"/>
      <c r="K55" s="97" t="s">
        <v>146</v>
      </c>
      <c r="L55" s="97"/>
      <c r="M55" s="59" t="s">
        <v>706</v>
      </c>
      <c r="N55" s="59"/>
      <c r="O55" s="59"/>
    </row>
    <row r="57" spans="1:15" ht="24" customHeight="1">
      <c r="A57" s="89" t="s">
        <v>707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</row>
    <row r="58" spans="1:15" ht="33.75" customHeight="1">
      <c r="A58" s="78" t="s">
        <v>605</v>
      </c>
      <c r="B58" s="78"/>
      <c r="C58" s="78"/>
      <c r="D58" s="78"/>
      <c r="E58" s="78"/>
      <c r="F58" s="78"/>
      <c r="G58" s="78"/>
      <c r="H58" s="78"/>
      <c r="I58" s="78" t="s">
        <v>606</v>
      </c>
      <c r="J58" s="78"/>
      <c r="K58" s="78" t="s">
        <v>141</v>
      </c>
      <c r="L58" s="78"/>
      <c r="M58" s="78" t="s">
        <v>514</v>
      </c>
      <c r="N58" s="78"/>
      <c r="O58" s="78"/>
    </row>
    <row r="59" spans="1:15" ht="25.5" customHeight="1">
      <c r="A59" s="59" t="s">
        <v>708</v>
      </c>
      <c r="B59" s="59"/>
      <c r="C59" s="59"/>
      <c r="D59" s="59"/>
      <c r="E59" s="59"/>
      <c r="F59" s="59"/>
      <c r="G59" s="59"/>
      <c r="H59" s="59"/>
      <c r="I59" s="96" t="s">
        <v>709</v>
      </c>
      <c r="J59" s="96"/>
      <c r="K59" s="97" t="s">
        <v>146</v>
      </c>
      <c r="L59" s="97"/>
      <c r="M59" s="59" t="s">
        <v>710</v>
      </c>
      <c r="N59" s="59"/>
      <c r="O59" s="59"/>
    </row>
    <row r="60" spans="1:15" ht="25.5" customHeight="1">
      <c r="A60" s="60" t="s">
        <v>711</v>
      </c>
      <c r="B60" s="60"/>
      <c r="C60" s="60"/>
      <c r="D60" s="60"/>
      <c r="E60" s="60"/>
      <c r="F60" s="60"/>
      <c r="G60" s="60"/>
      <c r="H60" s="60"/>
      <c r="I60" s="98" t="s">
        <v>712</v>
      </c>
      <c r="J60" s="98"/>
      <c r="K60" s="97" t="s">
        <v>146</v>
      </c>
      <c r="L60" s="97"/>
      <c r="M60" s="60" t="s">
        <v>713</v>
      </c>
      <c r="N60" s="60"/>
      <c r="O60" s="60"/>
    </row>
    <row r="61" spans="1:15" ht="25.5" customHeight="1">
      <c r="A61" s="59" t="s">
        <v>714</v>
      </c>
      <c r="B61" s="59"/>
      <c r="C61" s="59"/>
      <c r="D61" s="59"/>
      <c r="E61" s="59"/>
      <c r="F61" s="59"/>
      <c r="G61" s="59"/>
      <c r="H61" s="59"/>
      <c r="I61" s="96" t="s">
        <v>715</v>
      </c>
      <c r="J61" s="96"/>
      <c r="K61" s="97" t="s">
        <v>146</v>
      </c>
      <c r="L61" s="97"/>
      <c r="M61" s="59" t="s">
        <v>716</v>
      </c>
      <c r="N61" s="59"/>
      <c r="O61" s="59"/>
    </row>
    <row r="62" spans="1:15" ht="25.5" customHeight="1">
      <c r="A62" s="60" t="s">
        <v>717</v>
      </c>
      <c r="B62" s="60"/>
      <c r="C62" s="60"/>
      <c r="D62" s="60"/>
      <c r="E62" s="60"/>
      <c r="F62" s="60"/>
      <c r="G62" s="60"/>
      <c r="H62" s="60"/>
      <c r="I62" s="98" t="s">
        <v>718</v>
      </c>
      <c r="J62" s="98"/>
      <c r="K62" s="97" t="s">
        <v>146</v>
      </c>
      <c r="L62" s="97"/>
      <c r="M62" s="60" t="s">
        <v>719</v>
      </c>
      <c r="N62" s="60"/>
      <c r="O62" s="60"/>
    </row>
    <row r="64" spans="1:15" ht="19.5" customHeight="1">
      <c r="A64" s="48" t="s">
        <v>720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21.75" customHeight="1">
      <c r="A65" s="103" t="s">
        <v>721</v>
      </c>
      <c r="B65" s="103"/>
      <c r="C65" s="103"/>
      <c r="D65" s="103" t="s">
        <v>722</v>
      </c>
      <c r="E65" s="103"/>
      <c r="F65" s="103"/>
      <c r="G65" s="103" t="s">
        <v>723</v>
      </c>
      <c r="H65" s="103"/>
      <c r="I65" s="103"/>
      <c r="J65" s="103" t="s">
        <v>724</v>
      </c>
      <c r="K65" s="103"/>
      <c r="L65" s="103"/>
      <c r="M65" s="103" t="s">
        <v>725</v>
      </c>
      <c r="N65" s="103"/>
      <c r="O65" s="103"/>
    </row>
    <row r="66" spans="1:15" ht="27.75" customHeight="1">
      <c r="A66" s="104" t="s">
        <v>726</v>
      </c>
      <c r="B66" s="104"/>
      <c r="C66" s="104"/>
      <c r="D66" s="105" t="s">
        <v>727</v>
      </c>
      <c r="E66" s="105"/>
      <c r="F66" s="105"/>
      <c r="G66" s="106" t="s">
        <v>12</v>
      </c>
      <c r="H66" s="106"/>
      <c r="I66" s="106"/>
      <c r="J66" s="107" t="s">
        <v>728</v>
      </c>
      <c r="K66" s="107"/>
      <c r="L66" s="107"/>
      <c r="M66" s="108" t="s">
        <v>729</v>
      </c>
      <c r="N66" s="108"/>
      <c r="O66" s="108"/>
    </row>
  </sheetData>
  <mergeCells count="202">
    <mergeCell ref="A65:C65"/>
    <mergeCell ref="D65:F65"/>
    <mergeCell ref="G65:I65"/>
    <mergeCell ref="J65:L65"/>
    <mergeCell ref="M65:O65"/>
    <mergeCell ref="A66:C66"/>
    <mergeCell ref="D66:F66"/>
    <mergeCell ref="G66:I66"/>
    <mergeCell ref="J66:L66"/>
    <mergeCell ref="M66:O66"/>
    <mergeCell ref="A61:H61"/>
    <mergeCell ref="I61:J61"/>
    <mergeCell ref="K61:L61"/>
    <mergeCell ref="M61:O61"/>
    <mergeCell ref="A62:H62"/>
    <mergeCell ref="I62:J62"/>
    <mergeCell ref="K62:L62"/>
    <mergeCell ref="M62:O62"/>
    <mergeCell ref="A64:O64"/>
    <mergeCell ref="A58:H58"/>
    <mergeCell ref="I58:J58"/>
    <mergeCell ref="K58:L58"/>
    <mergeCell ref="M58:O58"/>
    <mergeCell ref="A59:H59"/>
    <mergeCell ref="I59:J59"/>
    <mergeCell ref="K59:L59"/>
    <mergeCell ref="M59:O59"/>
    <mergeCell ref="A60:H60"/>
    <mergeCell ref="I60:J60"/>
    <mergeCell ref="K60:L60"/>
    <mergeCell ref="M60:O60"/>
    <mergeCell ref="A54:H54"/>
    <mergeCell ref="I54:J54"/>
    <mergeCell ref="K54:L54"/>
    <mergeCell ref="M54:O54"/>
    <mergeCell ref="A55:H55"/>
    <mergeCell ref="I55:J55"/>
    <mergeCell ref="K55:L55"/>
    <mergeCell ref="M55:O55"/>
    <mergeCell ref="A57:O57"/>
    <mergeCell ref="A51:H51"/>
    <mergeCell ref="I51:J51"/>
    <mergeCell ref="K51:L51"/>
    <mergeCell ref="M51:O51"/>
    <mergeCell ref="A52:H52"/>
    <mergeCell ref="I52:J52"/>
    <mergeCell ref="K52:L52"/>
    <mergeCell ref="M52:O52"/>
    <mergeCell ref="A53:H53"/>
    <mergeCell ref="I53:J53"/>
    <mergeCell ref="K53:L53"/>
    <mergeCell ref="M53:O53"/>
    <mergeCell ref="A47:H47"/>
    <mergeCell ref="I47:J47"/>
    <mergeCell ref="K47:L47"/>
    <mergeCell ref="M47:O47"/>
    <mergeCell ref="A49:O49"/>
    <mergeCell ref="A50:H50"/>
    <mergeCell ref="I50:J50"/>
    <mergeCell ref="K50:L50"/>
    <mergeCell ref="M50:O50"/>
    <mergeCell ref="A44:H44"/>
    <mergeCell ref="I44:J44"/>
    <mergeCell ref="K44:L44"/>
    <mergeCell ref="M44:O44"/>
    <mergeCell ref="A45:H45"/>
    <mergeCell ref="I45:J45"/>
    <mergeCell ref="K45:L45"/>
    <mergeCell ref="M45:O45"/>
    <mergeCell ref="A46:H46"/>
    <mergeCell ref="I46:J46"/>
    <mergeCell ref="K46:L46"/>
    <mergeCell ref="M46:O46"/>
    <mergeCell ref="A41:H41"/>
    <mergeCell ref="I41:J41"/>
    <mergeCell ref="K41:L41"/>
    <mergeCell ref="M41:O41"/>
    <mergeCell ref="A42:H42"/>
    <mergeCell ref="I42:J42"/>
    <mergeCell ref="K42:L42"/>
    <mergeCell ref="M42:O42"/>
    <mergeCell ref="A43:H43"/>
    <mergeCell ref="I43:J43"/>
    <mergeCell ref="K43:L43"/>
    <mergeCell ref="M43:O43"/>
    <mergeCell ref="A37:H37"/>
    <mergeCell ref="I37:J37"/>
    <mergeCell ref="K37:L37"/>
    <mergeCell ref="M37:O37"/>
    <mergeCell ref="A38:H38"/>
    <mergeCell ref="I38:J38"/>
    <mergeCell ref="K38:L38"/>
    <mergeCell ref="M38:O38"/>
    <mergeCell ref="A40:O40"/>
    <mergeCell ref="A34:H34"/>
    <mergeCell ref="I34:J34"/>
    <mergeCell ref="K34:L34"/>
    <mergeCell ref="M34:O34"/>
    <mergeCell ref="A35:H35"/>
    <mergeCell ref="I35:J35"/>
    <mergeCell ref="K35:L35"/>
    <mergeCell ref="M35:O35"/>
    <mergeCell ref="A36:H36"/>
    <mergeCell ref="I36:J36"/>
    <mergeCell ref="K36:L36"/>
    <mergeCell ref="M36:O36"/>
    <mergeCell ref="A31:O31"/>
    <mergeCell ref="A32:H32"/>
    <mergeCell ref="I32:J32"/>
    <mergeCell ref="K32:L32"/>
    <mergeCell ref="M32:O32"/>
    <mergeCell ref="A33:H33"/>
    <mergeCell ref="I33:J33"/>
    <mergeCell ref="K33:L33"/>
    <mergeCell ref="M33:O33"/>
    <mergeCell ref="A27:H27"/>
    <mergeCell ref="I27:J27"/>
    <mergeCell ref="K27:L27"/>
    <mergeCell ref="M27:O27"/>
    <mergeCell ref="A28:H28"/>
    <mergeCell ref="I28:J28"/>
    <mergeCell ref="K28:L28"/>
    <mergeCell ref="M28:O28"/>
    <mergeCell ref="A29:H29"/>
    <mergeCell ref="I29:J29"/>
    <mergeCell ref="K29:L29"/>
    <mergeCell ref="M29:O29"/>
    <mergeCell ref="A24:H24"/>
    <mergeCell ref="I24:J24"/>
    <mergeCell ref="K24:L24"/>
    <mergeCell ref="M24:O24"/>
    <mergeCell ref="A25:H25"/>
    <mergeCell ref="I25:J25"/>
    <mergeCell ref="K25:L25"/>
    <mergeCell ref="M25:O25"/>
    <mergeCell ref="A26:H26"/>
    <mergeCell ref="I26:J26"/>
    <mergeCell ref="K26:L26"/>
    <mergeCell ref="M26:O26"/>
    <mergeCell ref="A20:H20"/>
    <mergeCell ref="I20:J20"/>
    <mergeCell ref="K20:L20"/>
    <mergeCell ref="M20:O20"/>
    <mergeCell ref="A22:O22"/>
    <mergeCell ref="A23:H23"/>
    <mergeCell ref="I23:J23"/>
    <mergeCell ref="K23:L23"/>
    <mergeCell ref="M23:O23"/>
    <mergeCell ref="A17:H17"/>
    <mergeCell ref="I17:J17"/>
    <mergeCell ref="K17:L17"/>
    <mergeCell ref="M17:O17"/>
    <mergeCell ref="A18:H18"/>
    <mergeCell ref="I18:J18"/>
    <mergeCell ref="K18:L18"/>
    <mergeCell ref="M18:O18"/>
    <mergeCell ref="A19:H19"/>
    <mergeCell ref="I19:J19"/>
    <mergeCell ref="K19:L19"/>
    <mergeCell ref="M19:O19"/>
    <mergeCell ref="A14:H14"/>
    <mergeCell ref="I14:J14"/>
    <mergeCell ref="K14:L14"/>
    <mergeCell ref="M14:O14"/>
    <mergeCell ref="A15:H15"/>
    <mergeCell ref="I15:J15"/>
    <mergeCell ref="K15:L15"/>
    <mergeCell ref="M15:O15"/>
    <mergeCell ref="A16:H16"/>
    <mergeCell ref="I16:J16"/>
    <mergeCell ref="K16:L16"/>
    <mergeCell ref="M16:O16"/>
    <mergeCell ref="A10:H10"/>
    <mergeCell ref="I10:J10"/>
    <mergeCell ref="K10:L10"/>
    <mergeCell ref="M10:O10"/>
    <mergeCell ref="A11:H11"/>
    <mergeCell ref="I11:J11"/>
    <mergeCell ref="K11:L11"/>
    <mergeCell ref="M11:O11"/>
    <mergeCell ref="A13:O13"/>
    <mergeCell ref="A7:H7"/>
    <mergeCell ref="I7:J7"/>
    <mergeCell ref="K7:L7"/>
    <mergeCell ref="M7:O7"/>
    <mergeCell ref="A8:H8"/>
    <mergeCell ref="I8:J8"/>
    <mergeCell ref="K8:L8"/>
    <mergeCell ref="M8:O8"/>
    <mergeCell ref="A9:H9"/>
    <mergeCell ref="I9:J9"/>
    <mergeCell ref="K9:L9"/>
    <mergeCell ref="M9:O9"/>
    <mergeCell ref="A1:O1"/>
    <mergeCell ref="A2:O2"/>
    <mergeCell ref="A3:O3"/>
    <mergeCell ref="A4:O4"/>
    <mergeCell ref="A5:O5"/>
    <mergeCell ref="A6:H6"/>
    <mergeCell ref="I6:J6"/>
    <mergeCell ref="K6:L6"/>
    <mergeCell ref="M6:O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2026-05-25T23:23:24Z</dcterms:created>
  <dcterms:modified xsi:type="dcterms:W3CDTF">2026-10-15T12:49:37Z</dcterms:modified>
  <cp:category/>
  <cp:contentStatus/>
</cp:coreProperties>
</file>